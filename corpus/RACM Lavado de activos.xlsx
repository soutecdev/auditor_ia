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people.ey.com/personal/geraldine_m_farfan_ve_ey_com/Documents/Documents/InnovEYtion Summit 2026_ Auditor interni inteligente/Material base/Matrices de riesgos y controles/"/>
    </mc:Choice>
  </mc:AlternateContent>
  <xr:revisionPtr revIDLastSave="4" documentId="8_{B800AF0B-8C4A-48C1-AEB4-05DACFD3FC18}" xr6:coauthVersionLast="47" xr6:coauthVersionMax="47" xr10:uidLastSave="{C6352D29-3A7D-4F1E-A601-4AC6206FC8A0}"/>
  <bookViews>
    <workbookView xWindow="-110" yWindow="-110" windowWidth="19420" windowHeight="11500" firstSheet="1" activeTab="1" xr2:uid="{00000000-000D-0000-FFFF-FFFF00000000}"/>
  </bookViews>
  <sheets>
    <sheet name="RACM" sheetId="1" state="hidden" r:id="rId1"/>
    <sheet name="RACMDEF" sheetId="12" r:id="rId2"/>
    <sheet name="Mapping (1)" sheetId="20" r:id="rId3"/>
    <sheet name="Mapping (2)" sheetId="14" r:id="rId4"/>
    <sheet name="Req. RRHH" sheetId="3" state="hidden" r:id="rId5"/>
    <sheet name="Req. Tecnología" sheetId="6" state="hidden" r:id="rId6"/>
    <sheet name="Req. Abastecimiento" sheetId="7" state="hidden" r:id="rId7"/>
    <sheet name="Req. Inversores" sheetId="9" state="hidden" r:id="rId8"/>
    <sheet name="Req. Tesorería" sheetId="10" state="hidden" r:id="rId9"/>
    <sheet name="Req. Contraloría Comercial Cl" sheetId="11" state="hidden" r:id="rId10"/>
    <sheet name="RACM (2)" sheetId="2" state="hidden" r:id="rId11"/>
  </sheets>
  <externalReferences>
    <externalReference r:id="rId12"/>
  </externalReferences>
  <definedNames>
    <definedName name="_xlnm._FilterDatabase" localSheetId="2" hidden="1">'Mapping (1)'!$D$6:$F$28</definedName>
    <definedName name="_xlnm._FilterDatabase" localSheetId="3" hidden="1">'Mapping (2)'!$D$6:$F$25</definedName>
    <definedName name="_xlnm._FilterDatabase" localSheetId="0" hidden="1">RACM!$B$4:$AU$18</definedName>
    <definedName name="_xlnm._FilterDatabase" localSheetId="1" hidden="1">RACMDEF!$B$11:$U$33</definedName>
    <definedName name="cadena">[1]Listas!$I$3:$I$6</definedName>
    <definedName name="coso">[1]Listas!$B$17:$B$24</definedName>
    <definedName name="Diseño">[1]Listas!$B$43:$B$49</definedName>
    <definedName name="efectividad">[1]Listas!$B$52:$B$57</definedName>
    <definedName name="frecuencia">[1]Listas!$B$65:$B$76</definedName>
    <definedName name="macroproceso">[1]Listas!$K$3:$K$27</definedName>
    <definedName name="macroprocesoall">[1]Listas!$N$3:$N$134</definedName>
    <definedName name="naturaleza">[1]Listas!$B$60:$B$62</definedName>
    <definedName name="proceso">[1]Listas!$O$3:$O$134</definedName>
    <definedName name="respuesta">[1]Listas!$B$26:$B$27</definedName>
    <definedName name="tipo">[1]Listas!$B$79:$B$81</definedName>
    <definedName name="valor">[1]Listas!$J$3:$J$27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14" l="1"/>
  <c r="C27" i="14"/>
  <c r="C26" i="14"/>
  <c r="C25" i="14"/>
  <c r="C24" i="14"/>
  <c r="C23" i="14"/>
  <c r="C22" i="14"/>
  <c r="C21" i="14"/>
  <c r="C20" i="14"/>
  <c r="C19" i="14"/>
  <c r="C18" i="14"/>
  <c r="C17" i="14"/>
  <c r="C16" i="14"/>
  <c r="C15" i="14"/>
  <c r="C14" i="14"/>
  <c r="C13" i="14"/>
  <c r="C12" i="14"/>
  <c r="C11" i="14"/>
  <c r="C10" i="14"/>
  <c r="C9" i="14"/>
  <c r="C8" i="14"/>
  <c r="C7" i="14"/>
  <c r="C8" i="20"/>
  <c r="E8" i="20" s="1" a="1"/>
  <c r="E8" i="20" s="1"/>
  <c r="C9" i="20"/>
  <c r="D9" i="20" s="1" a="1"/>
  <c r="D9" i="20" s="1"/>
  <c r="C10" i="20"/>
  <c r="E10" i="20" s="1" a="1"/>
  <c r="E10" i="20" s="1"/>
  <c r="C11" i="20"/>
  <c r="E11" i="20" s="1" a="1"/>
  <c r="E11" i="20" s="1"/>
  <c r="C12" i="20"/>
  <c r="D12" i="20" s="1" a="1"/>
  <c r="D12" i="20" s="1"/>
  <c r="C13" i="20"/>
  <c r="E13" i="20" s="1" a="1"/>
  <c r="E13" i="20" s="1"/>
  <c r="C14" i="20"/>
  <c r="D14" i="20" s="1" a="1"/>
  <c r="D14" i="20" s="1"/>
  <c r="C15" i="20"/>
  <c r="E15" i="20" s="1" a="1"/>
  <c r="E15" i="20" s="1"/>
  <c r="C16" i="20"/>
  <c r="D16" i="20" s="1" a="1"/>
  <c r="D16" i="20" s="1"/>
  <c r="C17" i="20"/>
  <c r="D17" i="20" s="1" a="1"/>
  <c r="D17" i="20" s="1"/>
  <c r="C18" i="20"/>
  <c r="E18" i="20" s="1" a="1"/>
  <c r="E18" i="20" s="1"/>
  <c r="C19" i="20"/>
  <c r="D19" i="20" s="1" a="1"/>
  <c r="D19" i="20" s="1"/>
  <c r="C20" i="20"/>
  <c r="D20" i="20" s="1" a="1"/>
  <c r="D20" i="20" s="1"/>
  <c r="C21" i="20"/>
  <c r="D21" i="20" s="1" a="1"/>
  <c r="D21" i="20" s="1"/>
  <c r="C22" i="20"/>
  <c r="D22" i="20" s="1" a="1"/>
  <c r="D22" i="20" s="1"/>
  <c r="C23" i="20"/>
  <c r="D23" i="20" s="1" a="1"/>
  <c r="D23" i="20" s="1"/>
  <c r="C24" i="20"/>
  <c r="D24" i="20" s="1" a="1"/>
  <c r="D24" i="20" s="1"/>
  <c r="C25" i="20"/>
  <c r="D25" i="20" s="1" a="1"/>
  <c r="D25" i="20" s="1"/>
  <c r="C26" i="20"/>
  <c r="E26" i="20" s="1" a="1"/>
  <c r="E26" i="20" s="1"/>
  <c r="C27" i="20"/>
  <c r="D27" i="20" s="1" a="1"/>
  <c r="D27" i="20" s="1"/>
  <c r="C28" i="20"/>
  <c r="E28" i="20" s="1" a="1"/>
  <c r="E28" i="20" s="1"/>
  <c r="C7" i="20"/>
  <c r="E7" i="20" s="1" a="1"/>
  <c r="E7" i="20" s="1"/>
  <c r="D21" i="14" l="1" a="1"/>
  <c r="D21" i="14" s="1"/>
  <c r="E21" i="20" a="1"/>
  <c r="E21" i="20" s="1"/>
  <c r="E20" i="20" a="1"/>
  <c r="E20" i="20" s="1"/>
  <c r="D15" i="14" a="1"/>
  <c r="D15" i="14" s="1"/>
  <c r="D11" i="14" a="1"/>
  <c r="D11" i="14" s="1"/>
  <c r="D23" i="14" a="1"/>
  <c r="D23" i="14" s="1"/>
  <c r="D7" i="14" a="1"/>
  <c r="D7" i="14" s="1"/>
  <c r="D13" i="14" a="1"/>
  <c r="D13" i="14" s="1"/>
  <c r="D19" i="14" a="1"/>
  <c r="D19" i="14" s="1"/>
  <c r="D9" i="14" a="1"/>
  <c r="D9" i="14" s="1"/>
  <c r="D17" i="14" a="1"/>
  <c r="D17" i="14" s="1"/>
  <c r="E7" i="14" a="1"/>
  <c r="E7" i="14" s="1"/>
  <c r="E9" i="14" a="1"/>
  <c r="E9" i="14" s="1"/>
  <c r="E11" i="14" a="1"/>
  <c r="E11" i="14" s="1"/>
  <c r="E13" i="14" a="1"/>
  <c r="E13" i="14" s="1"/>
  <c r="E15" i="14" a="1"/>
  <c r="E15" i="14" s="1"/>
  <c r="E17" i="14" a="1"/>
  <c r="E17" i="14" s="1"/>
  <c r="E19" i="14" a="1"/>
  <c r="E19" i="14" s="1"/>
  <c r="E21" i="14" a="1"/>
  <c r="E21" i="14" s="1"/>
  <c r="E23" i="14" a="1"/>
  <c r="E23" i="14" s="1"/>
  <c r="E25" i="14" a="1"/>
  <c r="E25" i="14" s="1"/>
  <c r="E27" i="14" a="1"/>
  <c r="E27" i="14" s="1"/>
  <c r="D25" i="14" a="1"/>
  <c r="D25" i="14" s="1"/>
  <c r="D27" i="14" a="1"/>
  <c r="D27" i="14" s="1"/>
  <c r="D26" i="20" a="1"/>
  <c r="D26" i="20" s="1"/>
  <c r="D15" i="20" a="1"/>
  <c r="D15" i="20" s="1"/>
  <c r="D8" i="14" a="1"/>
  <c r="D8" i="14" s="1"/>
  <c r="D10" i="14" a="1"/>
  <c r="D10" i="14" s="1"/>
  <c r="D12" i="14" a="1"/>
  <c r="D12" i="14" s="1"/>
  <c r="D14" i="14" a="1"/>
  <c r="D14" i="14" s="1"/>
  <c r="D16" i="14" a="1"/>
  <c r="D16" i="14" s="1"/>
  <c r="D18" i="14" a="1"/>
  <c r="D18" i="14" s="1"/>
  <c r="D20" i="14" a="1"/>
  <c r="D20" i="14" s="1"/>
  <c r="D22" i="14" a="1"/>
  <c r="D22" i="14" s="1"/>
  <c r="D24" i="14" a="1"/>
  <c r="D24" i="14" s="1"/>
  <c r="D26" i="14" a="1"/>
  <c r="D26" i="14" s="1"/>
  <c r="D28" i="14" a="1"/>
  <c r="D28" i="14" s="1"/>
  <c r="E25" i="20" a="1"/>
  <c r="E25" i="20" s="1"/>
  <c r="E12" i="20" a="1"/>
  <c r="E12" i="20" s="1"/>
  <c r="E8" i="14" a="1"/>
  <c r="E8" i="14" s="1"/>
  <c r="E10" i="14" a="1"/>
  <c r="E10" i="14" s="1"/>
  <c r="E12" i="14" a="1"/>
  <c r="E12" i="14" s="1"/>
  <c r="E14" i="14" a="1"/>
  <c r="E14" i="14" s="1"/>
  <c r="E16" i="14" a="1"/>
  <c r="E16" i="14" s="1"/>
  <c r="E18" i="14" a="1"/>
  <c r="E18" i="14" s="1"/>
  <c r="E20" i="14" a="1"/>
  <c r="E20" i="14" s="1"/>
  <c r="E22" i="14" a="1"/>
  <c r="E22" i="14" s="1"/>
  <c r="E24" i="14" a="1"/>
  <c r="E24" i="14" s="1"/>
  <c r="E26" i="14" a="1"/>
  <c r="E26" i="14" s="1"/>
  <c r="E28" i="14" a="1"/>
  <c r="E28" i="14" s="1"/>
  <c r="E17" i="20" a="1"/>
  <c r="E17" i="20" s="1"/>
  <c r="D28" i="20" a="1"/>
  <c r="D28" i="20" s="1"/>
  <c r="E23" i="20" a="1"/>
  <c r="E23" i="20" s="1"/>
  <c r="D11" i="20" a="1"/>
  <c r="D11" i="20" s="1"/>
  <c r="D10" i="20" a="1"/>
  <c r="D10" i="20" s="1"/>
  <c r="D18" i="20" a="1"/>
  <c r="D18" i="20" s="1"/>
  <c r="D8" i="20" a="1"/>
  <c r="D8" i="20" s="1"/>
  <c r="D13" i="20" a="1"/>
  <c r="D13" i="20" s="1"/>
  <c r="E22" i="20" a="1"/>
  <c r="E22" i="20" s="1"/>
  <c r="E14" i="20" a="1"/>
  <c r="E14" i="20" s="1"/>
  <c r="E27" i="20" a="1"/>
  <c r="E27" i="20" s="1"/>
  <c r="E19" i="20" a="1"/>
  <c r="E19" i="20" s="1"/>
  <c r="E24" i="20" a="1"/>
  <c r="E24" i="20" s="1"/>
  <c r="E16" i="20" a="1"/>
  <c r="E16" i="20" s="1"/>
  <c r="E9" i="20" a="1"/>
  <c r="E9" i="20" s="1"/>
  <c r="D7" i="20" a="1"/>
  <c r="D7" i="20" s="1"/>
  <c r="J18" i="20" l="1"/>
  <c r="K18" i="20"/>
  <c r="N9" i="20"/>
  <c r="N15" i="20"/>
  <c r="N18" i="20"/>
  <c r="J15" i="20"/>
  <c r="L9" i="20"/>
  <c r="M18" i="20"/>
  <c r="N12" i="20"/>
  <c r="K9" i="20"/>
  <c r="L18" i="20"/>
  <c r="M12" i="20"/>
  <c r="J9" i="20"/>
  <c r="L12" i="20"/>
  <c r="N6" i="20"/>
  <c r="K12" i="20"/>
  <c r="M6" i="20"/>
  <c r="M15" i="20"/>
  <c r="J12" i="20"/>
  <c r="L6" i="20"/>
  <c r="L15" i="20"/>
  <c r="K6" i="20"/>
  <c r="K15" i="20"/>
  <c r="M9" i="20"/>
  <c r="J6" i="20"/>
  <c r="A12" i="12" l="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C10" i="12"/>
  <c r="D10" i="12" s="1"/>
  <c r="E10" i="12" s="1"/>
  <c r="F10" i="12" s="1"/>
  <c r="G10" i="12" s="1"/>
  <c r="H10" i="12" s="1"/>
  <c r="I10" i="12" l="1"/>
  <c r="J10" i="12" s="1"/>
  <c r="K10" i="12" s="1"/>
  <c r="L10" i="12" s="1"/>
  <c r="O7" i="12" s="1"/>
  <c r="V10" i="12" s="1"/>
  <c r="F20" i="14"/>
  <c r="F27" i="20"/>
  <c r="F20" i="20"/>
  <c r="F15" i="14"/>
  <c r="F25" i="14"/>
  <c r="F23" i="14"/>
  <c r="F8" i="20"/>
  <c r="F10" i="20"/>
  <c r="F7" i="14"/>
  <c r="F28" i="20"/>
  <c r="F26" i="20"/>
  <c r="F11" i="20"/>
  <c r="F19" i="14"/>
  <c r="F24" i="20"/>
  <c r="F19" i="20"/>
  <c r="F21" i="20"/>
  <c r="F16" i="20"/>
  <c r="F15" i="20"/>
  <c r="F18" i="20"/>
  <c r="F9" i="14"/>
  <c r="F13" i="20"/>
  <c r="F28" i="14"/>
  <c r="F26" i="14"/>
  <c r="F11" i="14"/>
  <c r="F18" i="14"/>
  <c r="F23" i="20"/>
  <c r="F21" i="14"/>
  <c r="F27" i="14"/>
  <c r="F24" i="14"/>
  <c r="F22" i="20"/>
  <c r="F12" i="14"/>
  <c r="F17" i="14"/>
  <c r="F14" i="20"/>
  <c r="F17" i="20"/>
  <c r="F12" i="20"/>
  <c r="F7" i="20"/>
  <c r="F13" i="14"/>
  <c r="F22" i="14"/>
  <c r="F14" i="14"/>
  <c r="F16" i="14"/>
  <c r="F10" i="14"/>
  <c r="F8" i="14"/>
  <c r="F9" i="20"/>
  <c r="F25"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<sst xmlns="http://schemas.openxmlformats.org/spreadsheetml/2006/main" count="951" uniqueCount="362">
  <si>
    <t>Responsabilidad del Control</t>
  </si>
  <si>
    <t>Depedencia Responsable</t>
  </si>
  <si>
    <t>Responsable</t>
  </si>
  <si>
    <t>Caracteristicas del Control</t>
  </si>
  <si>
    <t>Tipo</t>
  </si>
  <si>
    <t>Naturaleza</t>
  </si>
  <si>
    <t>Frecuencia</t>
  </si>
  <si>
    <t>Factores de Riesgo</t>
  </si>
  <si>
    <t>¿El control mitiga riesgos de fraude interno y externo?</t>
  </si>
  <si>
    <t>¿El control es mitigante de al menos un riesgo que sea clasificado como "medio" y/o “alto”?</t>
  </si>
  <si>
    <t>¿El control por sí sólo es mitigante de varios riesgos?</t>
  </si>
  <si>
    <t>Factores de Estructura de Control</t>
  </si>
  <si>
    <t>¿El control es esencial para el cumplimiento de los objetivos de la actividad?</t>
  </si>
  <si>
    <t>¿La omisión del control puede afectar el objetivo de información definido en COSO 2013?</t>
  </si>
  <si>
    <t>¿La omisión del control puede afectar el objetivo operativo definido en COSO 2013?</t>
  </si>
  <si>
    <t>¿La omisión del control puede afectar el objetivo de cumplimiento definido en COSO 2013?</t>
  </si>
  <si>
    <t>¿El control es clasificado como detectivo?</t>
  </si>
  <si>
    <t>Clasificación del Control</t>
  </si>
  <si>
    <t>Sub-Ponderación</t>
  </si>
  <si>
    <t>Ponderación del control</t>
  </si>
  <si>
    <t>Control Clave   (S/N)
metodología</t>
  </si>
  <si>
    <t>Diseño del Control</t>
  </si>
  <si>
    <t>1era
entrada</t>
  </si>
  <si>
    <t>Referencia de Recorrido 
1era entrada</t>
  </si>
  <si>
    <t>2da
entrada</t>
  </si>
  <si>
    <t>Referencia de Recorrido 
2da entrada</t>
  </si>
  <si>
    <t>3ra entrada</t>
  </si>
  <si>
    <t>Referencia de Recorrido 
3ra entrada</t>
  </si>
  <si>
    <t>Operatividad del control</t>
  </si>
  <si>
    <t>1era
 entrada</t>
  </si>
  <si>
    <t>Hallazgos / Oportunidad de Mejora</t>
  </si>
  <si>
    <t>Severidad de la inefectividad</t>
  </si>
  <si>
    <t>Referencia de pruebas 
1era entrada</t>
  </si>
  <si>
    <t>Referencia de pruebas 
2da entrada</t>
  </si>
  <si>
    <t>3era
entrada</t>
  </si>
  <si>
    <t>Referencia de pruebas 
3era entrada</t>
  </si>
  <si>
    <t>Dictamen Anual</t>
  </si>
  <si>
    <t>Estatus del control</t>
  </si>
  <si>
    <t>Comentarios</t>
  </si>
  <si>
    <t>PCLCFT. 01 Estructura</t>
  </si>
  <si>
    <t>PCLCFT. 02 Junta Directiva</t>
  </si>
  <si>
    <t>PCLCFT. 03 RAS</t>
  </si>
  <si>
    <t>PCLCFT. 04 Manual y Código de PCLCFT</t>
  </si>
  <si>
    <t>PCLCFT. 05 POA</t>
  </si>
  <si>
    <t>PCLCFT. 06 Revisión de Expedientes</t>
  </si>
  <si>
    <t>PCLCFT.12 Programa Anual de Adiestramiento</t>
  </si>
  <si>
    <t>PCLCFT.08 Comunicaciones con la SUNAVAL</t>
  </si>
  <si>
    <t>PCLCFT.09 Manual de Gobierno Corporativo</t>
  </si>
  <si>
    <t>Los países deben identificar, evaluar y entender sus riesgos de lavado de activos/financiamiento del terrorismo, y deben tomar acción, incluyendo la designación de una autoridad o mecanismo para coordinar acciones para evaluar los riesgos, y aplicar recursos encaminados a asegurar que se mitiguen eficazmente los riesgos.</t>
  </si>
  <si>
    <t>Organigrama: Estructura del Sistema Integral de PCLCFT</t>
  </si>
  <si>
    <t>ID del Riesgo</t>
  </si>
  <si>
    <t>Cumple GAFILAT</t>
  </si>
  <si>
    <t>Principio</t>
  </si>
  <si>
    <t>Componente</t>
  </si>
  <si>
    <t xml:space="preserve">Artículo 15: 
Conformación del SIAR LCFTFPADM:
1. La Junta Directiva o el Órgano que ejerza fundan equivalente; 
2. El presidente del sujeto obligado que ejerza función equivalente.
3. El odicial de cumplimiento.
4. La Unidad de AR LC/FI'/FPADM v Otros Ilícitos; 
5. El Responsable de Cumplimiento designado en cada área sensible de riesgo
6. Los Responsables de primera línea de contacto. </t>
  </si>
  <si>
    <t>Identificar (En la manera de lo posible), en los docs que nos paso Geral, que tipologia de riesgo pudiese estar este control</t>
  </si>
  <si>
    <t>R01</t>
  </si>
  <si>
    <t xml:space="preserve">Se realizó la revisión de la estructura de PCLCFTPADM con base a la Prov 209 y GAFILAT con el fin de validar que la misma cumpliera con los requerimientos minimos establecido por las normativas e indentificar posibles puntos de mejora. </t>
  </si>
  <si>
    <t>Cumple Prov, 209</t>
  </si>
  <si>
    <t xml:space="preserve">ID Control </t>
  </si>
  <si>
    <t xml:space="preserve">PCLCFT. 01 </t>
  </si>
  <si>
    <t>a</t>
  </si>
  <si>
    <t>Actividad de Control Ron Santa Teresa Vigente</t>
  </si>
  <si>
    <t>Propuesta de Redacción de Control Interno</t>
  </si>
  <si>
    <t>Validar, en la manera de lo posible, cuales son los correlativos 7,10 y 11, en los docs que nos compartio Geral.</t>
  </si>
  <si>
    <t>Podemos inventar el codigo. E.g: R01</t>
  </si>
  <si>
    <t>Tomado del documento 20 RST 209</t>
  </si>
  <si>
    <t>Tomado de la columna componente</t>
  </si>
  <si>
    <t>Tomado del documento 20 RST 209. Ver pestañas del doc.</t>
  </si>
  <si>
    <t>No completar de momento</t>
  </si>
  <si>
    <t>Completar parcialmente</t>
  </si>
  <si>
    <t>Anual</t>
  </si>
  <si>
    <t>Enfoque GAFILAT</t>
  </si>
  <si>
    <t>Enfoque Prov, 209</t>
  </si>
  <si>
    <t>r</t>
  </si>
  <si>
    <t>Oficial de Cumplimiento</t>
  </si>
  <si>
    <t>Manual</t>
  </si>
  <si>
    <t>Dectivo</t>
  </si>
  <si>
    <t>Descripción del Riesgo</t>
  </si>
  <si>
    <t>Tipologia del Riesgo (El Tipo)</t>
  </si>
  <si>
    <t xml:space="preserve">Nuevo (colocar un poco de que se trata) Ejemplo= Tipologia: Cumplimiento; Descripción del Riesgo; Daños reputacionales
</t>
  </si>
  <si>
    <t>Identificar: Que hace, Quien lo hace, como lo hace, cuando lo hace, donde lo hace, que evidencia deja. COLOCAR: de acuerdo a la providencias 209, art 15</t>
  </si>
  <si>
    <t>Anualmente, el Oficial de Cumplimiento de acuerdo a lo establecido en la Providencia 209 (Art 15), realiza una revisión de la estructura de PCLFT / PADM de la Corporación identificando lo siguiente:
1- Integrantes del sistema integral de PCLFT / PADM
2- Desginación del Oficial de Cumplimiento,
3- Aprobación de los responsables de Cumplimiento,
4- Unidad de Previsión y Control.
La evidencia de este control es el archivo Excel que prepara el Oficial de cumplimiento donde se detallan los nombres de las personas que conforman el sistema integral de PCLFT/PADM.</t>
  </si>
  <si>
    <t>R02</t>
  </si>
  <si>
    <t>Actas de Juntas Directivas</t>
  </si>
  <si>
    <t>PCLCFT. 02</t>
  </si>
  <si>
    <t>PCLCFT. 03</t>
  </si>
  <si>
    <t>PCLCFT. 04</t>
  </si>
  <si>
    <t>PCLCFT. 05</t>
  </si>
  <si>
    <t xml:space="preserve">Anualmente, la Junta Directiva de acuerdo a lo establecido en la Providencia 209 (Art 16), realiza una revisión de sus siguientes obligaciones:
1.Instaurar una política sobre el cumplimiento de AR LC/FT/FPADM y Otros Ilícitos en todos los niveles de la organización. 
2.Aprobar la designación y garantizar los recursos necesarios para la ejecución de las funciones de:
    a.El Oficial de Cumplimiento  (OC)
    b.Los Miembros de la unidad
    c.Los responsables de Cumplimiento para cada una de las áreas
3.Revisar y aprobar:
    a.Las políticas y estrategias
    b.Los planes operativos de prevención y control (POA Y PASEC)
    c.Los informes presentados por el OC
    d.Los programas de adiestramiento
    e.El código de ética
La evidencia de este control es un documento en Excel que prepara el Oficial de Cumplimiento donde se detallan los nombres de los funcionarios y las fechas de actualización de los informes. </t>
  </si>
  <si>
    <t xml:space="preserve">Artículo 16: 
La junta directiva del sujeto obligado tendrá las siguientes obligaciones: 
1.Promover en todos los niveles de la organización, como componente del órgano de gobierno del sujeto obligado, la cultura de cumplimiento normativo del ordenamiento jurídico relacionado con la AR LC/FT/FPADM y Otros Ilícitos, procurando para ello que el personal se adhiera a las políticas, normas, procedimientos, mecanismos, instrumentos y sistemas de gestión de administración de riesgos adoptados. 
2.Aprobar la designación de los siguientes integrantes del SIAR LC/FT/FPADM y otro Ilícitos: 
    a.Oficial de Cumplimiento 
    b.Miembros de la UAR LC/FT/FPADM y Otros Ilícitos 
    c.Responsables de Cumplimiento para cada una de las áreas sensibles de riesgo de LC/FT/FPADM y otros Ilícitos.
3.Girar instrucciones para dar cumplimiento a los parámetros dictados por el oficial de cumplimiento para la implementación del SIAR LC/FT/FPADM y Otros Ilícitos, y asegurar que este cuente con suficiente autoridad y recursos (humanos, financieros y tecnológicos) para administrar un programa de cumplimiento en la AR LC/FT/FPADM y Otros Ilícitos, conforme al perfil de riesgo del sujeto obligado
4.Revisar y aprobar las políticas, estrategias, planes, informes, manuales, programas y planes de capacitación para las accionistas, miembros de la junta directiva, trabajadores o empleados y los relacionados con la actividad propia que desarrollan, así como los programas de AR LC/FT/FPADM y Otros Ilícitos, e implementación de tecnologías, presentados a su consideración por el oficial de cumplimiento. </t>
  </si>
  <si>
    <t>Reporte de Actividades Sospechosas</t>
  </si>
  <si>
    <t xml:space="preserve">Artículo 85:
Los sujetos obligados deben reportar a través del formulario correspondiente, a la Unidad Nacional de Inteligencia Financiera (UNIF), la información de aquellas actividades que consideren sospechosas, vinculadas o no con los delitos de LC/FTFPADM y Otros Ilícitos, en un plazo que no debe exceder de treinta (30) días consecutivos siguientes a la fecha de realización de la operación. 
Si el sujeto obligado no ha tenido conocimiento de ninguna actividad sospechosa durante un lapso de un mes, deberá informar a la Superintendencia Nacional de Valores, dentro de los diez (10) días hábiles siguientes a la finalización de dicho termino. </t>
  </si>
  <si>
    <t>PCLCFT. 06</t>
  </si>
  <si>
    <t>Se realizó la revisión del RAS de PCLCFTPADM con base a la Prov 209 y GAFILAT con el fin de Verificar el cumplimiento en los tiempos establecidos de los envíos de reportes de actividades sospechosas.</t>
  </si>
  <si>
    <t>Se realizó la revisión de PCLCFTPADM con base a la Prov 209 y GAFILAT con el fin de Verificar el cumplimiento Del Manual de Políticas, Normas y Procedimientos de Prevención y Control de LC/FT/PDADM</t>
  </si>
  <si>
    <t>Manual de Políticas, Normas y Procedimientos de Prevensión y Control de LC/FT</t>
  </si>
  <si>
    <t xml:space="preserve">Artículo 41: Alcance
Los mecanismos de gestión de riesgos adoptados por el sujeto obligado deben consolidarse en un manual de políticas, normas y procedimientos para la AR LC/FT/FPADM y Otros Ilícitos, considerando sus características propias, su naturaleza jurídica, así como los diferentes productos y servicios que ofrece a sus inversores o participantes.
El manual de políticas, normas y procedimientos para la AR LC/FT/FPADM y Otros Ilícitos, debe ser aprobado por la junta directiva y ser remitido en formato digital a la Superintendencia Nacional de Valores, toda vez que sea elaborado por primera vez o tenga algunas actualizaciones de acuerdo al nivel de riesgo del sujeto obligado , sus cambios operativos, así como en el ordenamiento jurídico. 
En el expediente de cada empleado debe quedar constancia por escrito que ha tenido conocimiento del contenido del manual de políticas, normas y procedimientos de AR LC/FT/FPADM y Otros Ilícitos.
Artículo 42: Contenido del Manual
El manual de AR LC/FT/FPADM y Otros Ilícitos debe contener los aspectos mencionados en la providencia 209. 
Artículo 43: Actualización del Manual
El sujeto obligado debe mantener actualizado el manual de AR LC/FT/FPADM y Otros Ilícitos, de acuerdo a las necesidades y a las nuevas disposiciones que se emitan, siendo aprobado por la junta directiva, debiendo estar disponible para que dichas actualizaciones sean revisadas durante los procedimientos de inspecciones que realice la Superintendencia Nacional de Valores o cuando le sea requerida mediante oficio. </t>
  </si>
  <si>
    <t>Se realizó la revisión de PCLCFTPADM con base a la Prov 209 y GAFILAT con el fin de Validar la elaboración del Plan Operativo Anual y los informes relacionados a éste y su conformidad con los lineamientos establecidos en las Normas sobre Prevención, Control y Fiscalización de los delitos de Legitimación de Capitales y el Financiamiento al Terrorismo, los cuales es obligación del Oficial de Cumplimiento presentarlos a la Junta Directiva de la Compañía y a la SUNAVAL si así se requiere.</t>
  </si>
  <si>
    <t>Plan Operatio Anual (POA)</t>
  </si>
  <si>
    <t>Plan Anual de Adiestramiento</t>
  </si>
  <si>
    <t xml:space="preserve">Se realizó la revisión de PCLCFTPADM con base a la Prov 209 y GAFILAT con el fin de Validar la elaboración del Programa Anual de Adiestramiento, verificar que los adiestramientos de hayan realizado efectivamente  y su conformidad con los lineamientos establecidos en las Normas sobre Prevención, Control y Fiscalización de los delitos de Legitimación de Capitales y el Financiamiento al Terrorismo y FPDADM. </t>
  </si>
  <si>
    <t>PCLCFT. 07</t>
  </si>
  <si>
    <t>Anualmente, el Oficial de Cumplimiento de acuerdo con lo establecido en la Providencia 209 (Art 32, 33 y 35), debe desarrollar un programa de formación y capacitación para la AR LC/FT/FPADM y Otros Ilícitos.
La evidencia de este control es un archivo en Excel que prepara el Oficial de cumplimiento donde se documentan los registros de las actividades que incluyan pruebas documentales, fechas de las sesiones de formación y capacitación, así como la asistencia a las mismas.</t>
  </si>
  <si>
    <t xml:space="preserve">Artículo 32: El sujeto obligado debe diseñar, financiar e implementar un programa anual de formación y capacitación para la AR LC/FT/FPADM y Otros Ilícitos, de conformidad con las disposiciones establecidas por el Ente regulador, ajustando el perfil operacional a los riesgos identificados y relacionados con la LC/FT/FPADM y Otros Ilícitos. Este programa estará dirigido a todo el personal ejecutivo, directivo, empleados y trabajadores y representantes autorizados según las responsabilidades y actividades que desempeñe cada grupo. 
El programa anual debe ser presentado dentro de los primeros quince (15) días continuos del ejercicio fiscal en curso por el oficial de cumplimiento ante la junta directiva del sujeto obligado para su aprobación, el cual debe estar a disposición del Ente regulador. 
Artículo 33: El programa anual de formación y capacitación debe contener los objetivos específicos, las estrategias de enseñanza, los mecanismos e instrumentos y métodos de evaluación a ser aplicados. Para su diseño, el sujeto obligado debe considerar las funciones específicas de cada área a la cual va dirigido. 
Articulo 35: El sujeto obligado debe documentar el cumplimiento de sus programas de formación y capacitación, debiendo además llevar los registros de las actividades que incluyan pruebas documentales, fechas de las sesiones de formación y capacitación, así como la asistencia a las mismas. Dicha documentación, debe estar a disposición de la Superintendencia Nacional de Valores, para su revisión y mantenerse por un periodo mínimo de cinco (5) años, contados a partir de la realización de la formación y capacitación, la documentación debe adecuarse de conformidad con las disposiciones establecidas. </t>
  </si>
  <si>
    <t xml:space="preserve">Artículo 29: Elaboración
El Sujeto obligado debe diseñar y ejecutar un POA de AR LC/FT/FPADM y Otros Ilícitos, de conformidad con las disposiciones establecidas en sus manuales, a los fines de AR LC/FT/FPADM y Otros Ilícitos, y que estará en correlación con los cambios que experimenten los factores de riesgos asociados a los inversores, participantes, proveedores, productos o servicios, zonas geográficas, canales de distribución o comercialización y nuevas tecnologías, según los resultados evidenciados en el seguimiento de la autoevaluación del SIAR LC/FTFPADM y Otros Ilícitos, en la etapa de supervisión y monitoreo. Dicho plan debe ser elaborado y aprobado durante el último trimestre del año anterior a su ejecución y deberá ser consignado ante el Ente regulador, dentro de los quince (15) días hábiles del año de su ejecución.
Artículo 30: Elementos que lo conforman
El POA AR LC/FT/FPADM y Otros Ilícitos, deberá contener los siguientes elementos :
-Actividades
-Objetivos
-Responsables
-Unidad de medida
-Metas
-Insumos
-Costos
-Tiempo de ejecución
-Otras
Artículo 31: Informe de Ejecución
El oficial de cumplimiento elaborara trimestralmente un informe sobre la ejecución del POA de AR LC/FT/FPADM y Otros Ilícitos, indicando el porcentaje de cumplimiento de cada aspecto de su contenido. Este documento debe formar parte de los informes trimestrales y anuales que el oficial de cumplimiento presentara a la junta directiva. El cual, deberá estar a disposición de cualquier auditoría de cumplimiento o inspección de la Superintendencia Nacional de Valores. </t>
  </si>
  <si>
    <t xml:space="preserve"> Se realizó la revisión de PCLCFTPADM con base a la Prov 209 con el fin de Validar el cumplimiento con la remisión d einformación y documentos epsecíficos que indica la normativa en el tiempo y adecuadamente según sea el caso a la SUNAVAL.</t>
  </si>
  <si>
    <t xml:space="preserve"> Comunicaciones a la SUNAVAL</t>
  </si>
  <si>
    <t xml:space="preserve">Artículo 17: El presidente o quien haga sus veces en la estructura organizativa del sujeto obligado, debe cumplir las siguientes obligaciones:
             6.Informar a la SUNAVAL sobre la postulación, renuncia y ausencia del oficial de cumplimiento, dentro de un lapso de (15) días hábiles siguientes a la fecha de su nombramiento en acta de junta directiva, acompañado de la declaración jurada en la que manifesté estar en el ejercicio de las funciones a dedicación exclusiva , resumen curricular con los respectivos soportes y la certificación del acta de la junta directiva donde consté su designación.
             7.Nombrar al director o gerente de la UAR, para cumplir las funciones del oficial de cumplimiento, en el caso de las ausencias debidamente justificadas. Ahora bien, en el caso de renuncia o despido de este, se deberá designar a un nuevo oficial de cumplimiento m en un lapse de treinta (30) días hábiles. Dicho reemplazo deberá ser notificado a la SUNAVAL dentro de los tres (03) días hábiles siguientes a efectuarse el referido movimiento. 
             8.En caso de no existir la conformación de la UAR LC/FT/FPADM, el presidente deberá designar a un responsable de cumplimiento de las áreas sensibles de riesgo, para que ejerza temporalmente las funciones del cumplimiento por un tiempo máximo de tres (03) meses, cumplido este lapso, el sujeto obligado deberá; nombrar en quince (15) días continuos siguientes un nuevo oficial de cumplimiento.
             9.Informar a la SUNAVAL, sobre la designación de los integrantes de la UAR LC/FT/FPADM y Otros Ilícitos, dentro de un lapso de (15) días hábiles siguientes a la fecha de su nombramiento, y remitir a esta la declaración jurada en la que manifiesten estar en el ejercicio de las funciones a dedicación exclusiva, resumen curricular con los respectivos soportes y la certificación del acta de la junta directiva donde consten sus designaciones.
Artículo 20: El oficial de cumplimiento tendrá las siguientes obligaciones
	17. Informar a la SUNAVAL los reportes de transacciones sospechosas e información relevante relacionada con la AR LC/FT/FPADM y Otros Ilícitos, así como las respuestas a las solicitudes de información en esta materia, llevadas a cabo por las autoridades competentes, todo ello dentro de los plazos establecidos en la normativa legal vigente. 
	19. Mantener relaciones institucionales con la SUNAVAL
Artículo 24: El gerente de la UAR LC/FT/FPADM y Otros Ilícitos, tendrá las siguientes obligaciones:
	10. Remitir a la SUNAVAL, la identificación, cargo y teléfono laboral de las personas que conforman la UAR LC/FT/FPADM y Otros Ilícitos, manteniendo actualizada esta información, dicha remisión deberá realizarse en un plazo de quince (15) días hábiles, contados a partir de la fecha en que se designe al personal o se efectúen los nuevos nombramientos. 
	11. Remitir a la SUNAVAL, el organigrama funcional de la UAR LC/FT/FPADM y Otros Ilícitos, una vez conformada esta
Artículo 38: El código de ética o código de conducta debe ser aprobado por la junta directiva del sujeto obligado y estar disponible para su revisión por parte de los funcionarios de la SUNAVAL, durante las inspecciones. 
Artículo 41: El manual de políticas, normas y procedimientos de AR /LC/FT/FPADM y otros ilícitos, debe ser aprobado por la junta directiva y ser remitido en formato digital a la SUNAVAL, toda vez que sea elaborado por primera vez o tenga algunas actualizaciones de acuerdo al nivel de riesgo del sujeto obligado, sus cambios operativos, así como en el ordenamiento jurídico. 
Artículo 68: Las sociedades cuyos valores sean objeto de oferta pública deberán suministrar dentro de siete (7) días continuos, siguientes a la celebración de la respectiva asamblea de accionistas, un informe sobre los métodos y procedimientos aplicados en su organización, para prevenir la utilización de los mismos como medio para legitimar capitales, de conformidad con la ley y normas vigentes que regulen la materia.
Artículo 76: Presentación del informe anual:
El informe anual preparado por el tercero independiente calificado de cumplimiento debe hacerse del conocimiento de la junta directiva del sujeto obligado, con copia al oficial de cumplimiento y ser remido dentro de los noventa (90) días continuos siguientes al cierre del ejercido fiscal de cada sujeto obligado a la Superintendencia Nacional de Valores, quien formulará observaciones correspondientes. Asimismo, el sujeto obligado debe mantener disponible, al momento de la inspección por parte del ente regulador, el informe anual a los unes de revisar su implementación.
Artículo 82: Cuando la SUNAVAL o los organismos competentes soliciten información al oficial de cumplimiento del sujeto obligado sobre las actividades vinculadas a los delitos de LC/FTFPADM y Otros Ilícitos, que estén siento objeto de investigación, dentro de las limitaciones establecidas en las leyes y las que se derivan de sus actividades dentro del mercado de valores, deben establecer mecanismos coordinados que permitan la investigación, seguimiento e intercambio de información sobre las actividades sospechosas, que estén siendo objeto de investigación por parte d ellos mencionados organismos. 
Artículo 84: La información solicitada por los órganos de investigación del Estado, con competencia en la materia o por la SUNAVAL, se remitirá incluyendo los detalles solicitados sobre las operaciones realizadas, anexando una copia de los documentos necesarios que permitan la verificación de la información suministrada, siendo el plazo para cumplir con esta obligación el indicado en el requerimiento para cada caso. 
El procedimiento que será utilizado para las solicitudes de información emanadas de la SUNAVAL, será de conformidad con lo establecido en las disposiciones establecidas y dictadas al efecto.
Artículo 85: Los sujetos obligados deben reportar a través del formulario correspondiente, a la Unidad Nacional de Inteligencia Financiera (UNIF), la información de aquellas actividades que consideren sospechosas, vinculadas o no con los delitos de LC/FTFPADM y Otros Ilícitos, en un plazo que no debe exceder de treinta (30) días consecutivos siguientes a la fecha de realización de la operación. 
Si el sujeto obligado no ha tenido conocimiento de ninguna actividad sospechosa durante un lapso de un mes, deberá informar a la Superintendencia Nacional de Valores, dentro de los diez (10) días hábiles siguientes a la finalización de dicho termino. </t>
  </si>
  <si>
    <t>R03</t>
  </si>
  <si>
    <t>R04</t>
  </si>
  <si>
    <t>R05</t>
  </si>
  <si>
    <t>R06</t>
  </si>
  <si>
    <t>R12</t>
  </si>
  <si>
    <t>R07</t>
  </si>
  <si>
    <t>R08</t>
  </si>
  <si>
    <t>R09</t>
  </si>
  <si>
    <t>Anualmente, el Oficial de Cumplimiento de acuerdo con lo establecido en la Providencia 209 (Art 17, 20, 24, 38, 41, 68, 76, 82, 84), debe de validar el cumplimiento con la remisión de información y documentos específicos que demanda la SUNAVAL, siendo estos:
-Documentación sobre la postulación, renuncia y ausencia del oficial de cumplimiento,
-Responsable de cumplimiento de las áreas sensibles de riesgo (en caso de no existir la conformación de la UAR LC/FT/FPADM
-Designación de los integrantes de la UAR LC/FT/FPADM y Otros Ilícitos
-Información (identificación, cargo y teléfono laboral) sobre las personas que conforman la UAR LC/FT/FPADM y Otros Ilícitos.
-Establecimiento del organigrama funcional de la UAR LC/FT/FPADM y Otros Ilícitos
-Informe anual sobre la AR /LC/FT/FPADM y Otros Ilícitos
-Código de ética o código de conducta
-Manual de políticas, normas y procedimientos de AR /LC/FT/FPADM y otros ilícitos
-Informe sobre los métodos y procedimientos aplicados para la prevención de la utilización de cualquier valor o derecho de contenido financiero objeto de oferta pública como medio para legitimar capitales, de conformidad con la ley y normas vigentes que regulen la materia.
La evidencia de este control es un archivo en Excel que prepara el Oficial de cumplimiento donde se lleva un control y supervisión de los expedientes mantenidos, para cumplir con los parámetros de posibles revisiones de la SUNAVAL.</t>
  </si>
  <si>
    <t>Trimestral</t>
  </si>
  <si>
    <t>Los países deben contar con políticas ALA/CFT/CFP a escala nacional, que tomen en cuenta los riesgos identificados, las cuales deben ser sometidas a revisión periódicamente, y deben designar a una autoridad o contar con un mecanismo de coordinación o de otro tipo que sea responsable de dichas políticas.</t>
  </si>
  <si>
    <t>Artículo 40: Gobierno corporativo
La junta directiva del sujeto obligado debe elaborar, aprobar y firmar de forma individual el manual de buen gobierno corporativo bajo las directrices que la SUNAVAL dicte al respecto, en señal que lo conoce y acepta sus directrices, y se obliga a la supervisión de su implementación y ejecución.</t>
  </si>
  <si>
    <t>Revisión expedientes: Empleados</t>
  </si>
  <si>
    <t>Revisión expedientes: Inversores</t>
  </si>
  <si>
    <t>Revisión expedientes: Participantes</t>
  </si>
  <si>
    <t>Revisión expedientes: Proveedores</t>
  </si>
  <si>
    <t>Revisión expedientes: Accionista</t>
  </si>
  <si>
    <t>Revisión expedientes: Clientes</t>
  </si>
  <si>
    <t>R10</t>
  </si>
  <si>
    <t>R11</t>
  </si>
  <si>
    <t>R13</t>
  </si>
  <si>
    <t>R14</t>
  </si>
  <si>
    <t>PCLCFT. 08</t>
  </si>
  <si>
    <t>PCLCFT. 09</t>
  </si>
  <si>
    <t>PCLCFT. 10</t>
  </si>
  <si>
    <t>PCLCFT. 11</t>
  </si>
  <si>
    <t>PCLCFT. 12</t>
  </si>
  <si>
    <t>PCLCFT. 13</t>
  </si>
  <si>
    <t>PCLCFT. 14</t>
  </si>
  <si>
    <t>Artículo 11: El sujeto obligado debe evaluar y ponderar los riesgos inherentes a la LC/FT/FPADM y Otros Ilícitos, clasificarlos según su perfil de riesgo entre altos, medios y bajos, o una clasificación más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Artículo 36: Cada inducción, formación o capacitación sobre la AR LC/FT/FPADM debe constar en un documento elaborado por el sujeto obligado, donde se especifique su denominación y contenido, suscrito por el oficial de cumplimiento y los participantes, el cual debe reposar en sus expedientes y mantenerse a la disposición de la SUNAVAL.
Artículo 41: Los mecanismos de gestión de riesgos adoptados por el sujeto obligado deben consolidarse en un manual de políticas, normas y procedimientos para la AR LC/FT/FPADM y Otros Ilícitos, considerando sus características propias, su naturaleza jurídica, así como los diferentes productos y servicios que ofrece a sus inversores o participantes.
El manual de políticas, normas y procedimientos para la AR LC/FT/FPADM y Otros Ilícitos, debe ser aprobado por la junta directiva y ser remitido en formato digital a la Superintendencia Nacional de Valores, toda vez que sea elaborado por primera vez o tenga algunas actualizaciones de acuerdo al nivel de riesgo del sujeto obligado , sus cambios operativos, así como en el ordenamiento jurídico. 
En el expediente de cada empleado debe quedar constancia por escrito que ha tenido conocimiento del contenido del manual de políticas, normas y procedimientos de AR LC/FT/FPADM y Otros Ilícitos.
Artículo 63.- La gerencia de gestión y talento humano del sujeto obligado apoyado por el oficial de cumplimiento, debe formular e implementar una política de “Conozca su Empleado” que establezca un procedimiento de selección del personal (Nuevos ingresos) acorde con sus niveles de riesgo, verificando lo datos e informaciones por ellos aportados, así como las referencias de trabajos anteriores.
Artículo 64.- El sujeto obligado debe formar un expediente por cada empleado, que reposará en el área encargada de gestión y talento humano y debe estar a disposición de la SUNAVAL cuando este sea requerido por los funcionarios durante el procedimiento de inspección, así como de los organismos de control correspondientes, el expediente debe contener lo establecido en los manuales, instructivos, formatos y disposiciones normativas dictadas al efecto. 
Artículo 66.- (PEP) EI sujeto obligado debe tomar las medidas necesarias para mitigar el riesgo de participar deliberada o involuntariamente, en el encubrimiento de ejecución de operaciones derivadas de hechos ilícitos, por parte de figuras politices nacionales o extranjeras de alto nivel y su círculo de colaboradores. 
Artículo 66: Los sujetos obligados deben tomar las medidas reforzadas de debida diligencia cuando mantengan relaciones comerciales, de negocios u operaciones con clientes que son considerados bajo el perfil de una persona expuesta políticamente, nacionales o extranjeras de alto nivel y su círculo de colaboradores. Debido a que los riesgos planteados por las personas expuestas políticamente varían la identificación, monitoreo y el diseño de sistemas de gestión de riesgos para estos inversores, participantes o proveedores, y las transacciones efectuadas en sus cuentas deben estar basados según perfil de riesgo, de conformidad con lo establecido en los manuales, instructivos, formatos y disposiciones normativas dictadas al efecto.</t>
  </si>
  <si>
    <t>Artículo 10: El sujeto obligado debe efectuar la segmentación mediante la consolidación de los factores de riesgo y demás variables, a través de la creación de los perfiles de riesgos, fundamentándose en el reconocimiento de diferencias significativas, de conformidad con el conocimiento de éstos, la naturaleza de sus operaciones, disponibilidad de datos y tomando en cuenta, como mínimo, las siguientes variables para cada segmento:
a) Tipo de Emisor, Inversor, Participante o Proveedor
b)Actividades económicas a las que se dedican
c)Origen de los recursos
Artículo 11: El sujeto obligado debe evaluar y ponderar los riesgos inherentes a la LC/FT/FPADM y Otros Ilícitos, clasificarlos según su perfil de riesgo entre altos, medios y bajos, o una clasificación más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Artículo 12: El sujeto obligado debe dar un nivel de riesgo a cada factor (Inversores, Emisores, Participantes o Proveedores), cuantificar la incidencia del riesgo (impacto) y considerar como de alto riesgo en su SIAR LC/FT/FPADM y Otros Iliciticos.
Artículo 45 y 46: Los sujetos obligados, bajo un enfoque basado de riesgo, debe llevar un registro individual por cada uno de sus inversores, a objeto de obtener y mantener actualizada la información de las operaciones independientemente del monto que este realice con el sujeto obligado, mientras dure su vinculación comercial, a fin de comprobar fehacientemente su identificación, incluyendo su beneficiario final y las actividades económicas a las que se dedican, adaptando parámetros de segmentación, para definir su perfil financiero, identificando las operaciones inusuales o sospechosas, rangos en los cuales se desarrollen las operaciones que realizan los inversoras y las características de estas en el mercada tradicional de valores.
Articulo 48: El sujeto obligado de acuerdo a su perfil y a los riesgos potenciales presentados por los inversores, debe emplear diferentes métodos para verificar la identidad y los datos aportados por estos. A mayor nivel de riesgo se emplearán métodos mas intensificados, pormenorizados o estrictos y seguir los procedimientos establecidos en los manuales, instructivos, formatos y disposiciones normativas distadas al efecto.
Artículo 49: Los documentos obtenidos del inversor y sus actividades, conformaran un expediente, el cual permanecerá en la oficina o sucursal del sujeto obligado, donde fue abierta la cuenta de corretaje bursátil, debe contener lo establecido en los manuales, instructivas, formatos y lo dispuesto en el presente capitulo, incluyendo:
1.Documentos consignados por el inversor, según lo establecido en los requisitos para el registro
2.Ficha de identificación del inversor
3.Contrato de apertura de cuenta de corretaje bursátil o contrato de servicios
4. Cualquier otro documento relacionado con el inversor y sus actividades. 
Articulo 66: Los sujetos obligados deben tomar las medidas reforzadas de debida diligencia cuando mantengan relaciones comerciales, de negocios u operaciones con clientes que son considerados bajo el perfil de una persona expuesta políticamente, nacionales o extranjeras de alto nivel y su circulo de colaboradores. Debido a que los riesgos planteados por las personas expuestas políticamente varían la identificación, monitoreo y el diseño de sistemas de gestión de riesgos para estos inversores, participantes o proveedores, y las transacciones efectuadas en sus cuentas deben estar basados según perfil de riesgo, de conformidad con lo establecido en los manuales, instructivos, formatos y disposiciones normativas dictadas al efecto.
Artículo 68: Las sociedades cuyos valores sean objeto de oferta pública deberán suministrar dentro de siete (7) días continuos, siguientes a la celebración de la respectiva asamblea de accionistas, un informe sobre los métodos y procedimientos aplicados en su organización, para prevenir la utilización de los mismos como medio para legitimar capitales, de conformidad con la ley y normas vigentes que regulen la materia.</t>
  </si>
  <si>
    <t xml:space="preserve">Artículo 10: El sujeto obligado debe efectuar la segmentación mediante la consolidación de los factores de riesgo y demás variables, a través de la creación de los perfiles de riesgos, fundamentándose en el reconocimiento de diferencias significativas, de conformidad con el conocimiento de éstos, la naturaleza de sus operaciones, disponibilidad de datos y tomando en cuenta, como mínimo, las siguientes variables para cada segmento:
a) Tipo de Emisor, Inversor, Participante o Proveedor
b)Actividades económicas a las que se dedican
c)Origen de los recursos
Artículo 11: El sujeto obligado debe evaluar y ponderar los riesgos inherentes a la LC/FT/FPADM y Otros Ilícitos, clasificarlos según su perfil de riesgo entre altos, medios y bajos, o una clasificación mas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Artículo 12: El sujeto obligado debe dar un nivel de riesgo a cada factor (Inversores, Emisores, Participantes o Proveedores), cuantificar la incidencia del riesgo (impacto) y considerar como de alto riesgo en su SIAR LC/FT/FPADM y Otros Iliciticos.
Artículo 56: Una vez completado el registro, el participante declara y acepta:
4.Proveer cualquier otra información que le sea requerida, para verificar su identidad o la traza de alguna operación realizada en la plataforma tecnológica de mercados descentralizados de valores, en virtud de AR LC/FT/FPADM y Otros Ilícitos.
5.Que los datos suministrados están completos, son ciertos y verificables. 
12. que dicha información sea almacenada durante un periodo mínimo de cinco (5) años desde su registro y que pueda ser compartida con las autoridades competentes, en el caso de que exista un requerimiento judicial expreso en ese sentido. </t>
  </si>
  <si>
    <t>Artículo 10: El sujeto obligado debe efectuar la segmentación mediante la consolidación de los factores de riesgo y demás variables, a través de la creación de los perfiles de riesgos, fundamentándose en el reconocimiento de diferencias significativas, de conformidad con el conocimiento de éstos, la naturaleza de sus operaciones, disponibilidad de datos y tomando en cuenta, como mínimo, las siguientes variables para cada segmento:
a) Tipo de Emisor, Inversor, Participante o Proveedor
b)Actividades económicas a las que se dedican
c)Origen de los recursos
Artículo 11: El sujeto obligado debe evaluar y ponderar los riesgos inherentes a la LC/FT/FPADM y Otros Ilícitos, clasificarlos según su perfil de riesgo entre altos, medios y bajos, o una clasificación más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Artículo 12: El sujeto obligado debe dar un nivel de riesgo a cada factor (Inversores, Emisores, Participantes o Proveedores), cuantificar la incidencia del riesgo (impacto) y considerar como de alto riesgo en su SIAR LC/FT/FPADM y Otros Iliciticos.
Artículo 66: Los sujetos obligados deben tomar las medidas reforzadas de debida diligencia cuando mantengan relaciones comerciales, de negocios u operaciones con clientes que son considerados bajo el perfil de una persona expuesta políticamente, nacionales o extranjeras de alto nivel y su círculo de colaboradores. Debido a que los riesgos planteados por las personas expuestas políticamente varían la identificación, monitoreo y el diseño de sistemas de gestión de riesgos para estos inversores, participantes o proveedores, y las transacciones efectuadas en sus cuentas deben estar basados según perfil de riesgo, de conformidad con lo establecido en los manuales, instructivos, formatos y disposiciones normativas dictadas al efecto.
Artículo 68: Las sociedades cuyos valores sean objeto de oferta pública deberán suministrar dentro de siete (7) días continuos, siguientes a la celebración de la respectiva asamblea de accionistas, un informe sobre los métodos y procedimientos aplicados en su organización, para prevenir la utilización de los mismos como medio para legitimar capitales, de conformidad con la ley y normas vigentes que regulen la materia.</t>
  </si>
  <si>
    <t>Artículo 10: El sujeto obligado debe efectuar la segmentación mediante la consolidación de los factores de riesgo y demás variables, a través de la creación de los perfiles de riesgos, fundamentándose en el reconocimiento de diferencias significativas, de conformidad con el conocimiento de éstos, la naturaleza de sus operaciones, disponibilidad de datos y tomando en cuenta, como mínimo, las siguientes variables para cada segmento:
a) Tipo de Emisor, Inversor, Participante o Proveedor
b)Actividades económicas a las que se dedican
c)Origen de los recursos
Artículo 11: El sujeto obligado debe evaluar y ponderar los riesgos inherentes a la LC/FT/FPADM y Otros Ilícitos, clasificarlos según su perfil de riesgo entre altos, medios y bajos, o una clasificación más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Artículo 41: Los mecanismos de gestión de riesgos adoptados por el sujeto obligado deben consolidarse en un manual de políticas, normas y procedimientos para la AR LC/FT/FPADM y Otros Ilícitos, considerando sus características propias, su naturaleza jurídica, así como los diferentes productos y servicios que ofrece a sus inversores o participantes.
El manual de políticas, normas y procedimientos para la AR LC/FT/FPADM y Otros Ilícitos, debe ser aprobado por la junta directiva y ser remitido en formato digital a la Superintendencia Nacional de Valores, toda vez que sea elaborado por primera vez o tenga algunas actualizaciones de acuerdo al nivel de riesgo del sujeto obligado , sus cambios operativos, así como en el ordenamiento jurídico. 
En el expediente de cada empleado debe quedar constancia por escrito que ha tenido conocimiento del contenido del manual de políticas, normas y procedimientos de AR LC/FT/FPADM y Otros Ilícitos.
Artículo 58: El objetivo de esta política es mantener actualizada toda la información de los accionistas, a fin de aplicar la debida diligencia en función a los riesgos identificados y que le permita al sujeto obligado a tomas las medidas idóneas para AR LC/FT/FPADM, cuando se inicie la relación accionaria o cuando existen cambio en la información del accionista. 
Artículo 59: El o los accionistas, declaran y aceptan, que:
5.El sujeto obligado mantenga sus datos en forma física o digital durante un periodo mínimo de cinco (5) años desde su ingreso y que pueda ser compartida con las autoridades competentes, en el caso de que exista un requerimiento judicial expreso en ese sentido. 
Artículo 66: Los sujetos obligados deben tomar las medidas reforzadas de debida diligencia cuando mantengan relaciones comerciales, de negocios u operaciones con clientes que son considerados bajo el perfil de una persona expuesta políticamente, nacionales o extranjeras de alto nivel y su círculo de colaboradores. Debido a que los riesgos planteados por las personas expuestas políticamente varían la identificación, monitoreo y el diseño de sistemas de gestión de riesgos para estos inversores, participantes o proveedores, y las transacciones efectuadas en sus cuentas deben estar basados según perfil de riesgo, de conformidad con lo establecido en los manuales, instructivos, formatos y disposiciones normativas dictadas al efecto.
Artículo 68: Las sociedades cuyos valores sean objeto de oferta pública deberán suministrar dentro de siete (7) días continuos, siguientes a la celebración de la respectiva asamblea de accionistas, un informe sobre los métodos y procedimientos aplicados en su organización, para prevenir la utilización de los mismos como medio para legitimar capitales, de conformidad con la ley y normas vigentes que regulen la materia.</t>
  </si>
  <si>
    <t xml:space="preserve">Anualmente, el Oficial de Cumplimiento de acuerdo con lo establecido en la Providencia 209 (Art 40), debe revisar el Manual de Gobierno Corporativo ante posibles cambios y/o actualizaciones. 
La evidencia de este control es el documento en PDF titulado “Manual de Gobierno Corporativo” el cual debe contener los aspectos mencionados en la providencia 209 actualizado y luego ser revisado y aprobado por la Junta Directiva. </t>
  </si>
  <si>
    <t xml:space="preserve">Anualmente, el Oficial de Cumplimiento de acuerdo con lo establecido en la Providencia 209 (Art 41, 42 y 43), debe revisar el manual de políticas, normas y procedimientos para la AR LC/FT/FPADM y Otros Ilícitos ante posibles cambios y/o actualizaciones. 
La evidencia de este control es el documento en PDF titulado “Manual de AR LC/FT/FPADM y Otros Ilícitos” el cual debe contener los aspectos mencionados en la providencia 209 actualizado y luego ser revisado y aprobado por la Junta Directiva. </t>
  </si>
  <si>
    <t>Bianualmente, el Oficial de Cumplimiento de acuerdo con lo establecido en la Providencia 209 (Art 11, 36, 41, 63, 64, 66), debe mantener al día los expedientes de los empleados, incluyendo dentro de ellos:
-Ficha del empleado actualizada 
-Documentos consignados por el empleado
-Clasificación de su perfil de riesgo
-Confirmación de asistencia a inducciones, formaciones o capacitaciones.
-Constancia por escrito sobre el conocimiento del contenido del manual de políticas, normas y procedimientos de AR LC/FT/FPADM y Otros Ilícitos.
-Verificación de antecedentes en las listas de verificación (ONU,OFAC). 
La evidencia de este control es un archivo Excel que prepara el Oficial de cumplimiento donde se tiene una lista de todos los empleados y los requerimientos de su expediente con su fecha de actualización del expediente.</t>
  </si>
  <si>
    <t>Bianualmente, el Oficial de Cumplimiento de acuerdo con lo establecido en la Providencia 209 (Art 10, 11, 12, 56.4, 56.5, 56.12), debe mantener al día los expedientes de los participantes, incluyendo dentro de ellos: 
-Documentos consignados por el participante
-Ficha de identificación del participante 
-Clasificación de su perfil de riesgo
-Verificación de antecedentes en las listas de verificación (ONU,OFAC).
La evidencia de este control es un archivo Excel que prepara el Oficial de cumplimiento donde se tiene una lista de todos los participantes y los requerimientos de su expediente con su fecha de actualización del expediente.</t>
  </si>
  <si>
    <t>Bianualmente, el Oficial de Cumplimiento de acuerdo con lo establecido en la Providencia 209 (Art 10, 11, 12, 66, 68), debe mantener al día los expedientes de los proveedores, incluyendo dentro de ellos:
-Ficha del proveedor actualizada 
-Documentos consignados por el proveedor
-Clasificación de su perfil de riesgo
-Verificación de antecedentes en las listas de verificación (ONU,OFAC). 
La evidencia de este control es un archivo Excel que prepara el Oficial de cumplimiento donde se tiene una lista de todos los proveedores y los requerimientos de su expediente con su fecha de actualización del expediente.</t>
  </si>
  <si>
    <t>Bianualmente, el Oficial de Cumplimiento de acuerdo con lo establecido en la Providencia 209 (Art 10, 11, 41, 58, 59.5, 66, 68), debe mantener al día los expedientes de los accionistas, incluyendo dentro de ellos:
-Ficha del accionista actualizada 
-Documentos consignados por el accionista
-Clasificación de su perfil de riesgo
-Verificación de antecedentes en las listas de verificación (ONU,OFAC). 
La evidencia de este control es un archivo Excel que prepara el Oficial de cumplimiento donde se tiene una lista de todos los acccionistas y los requerimientos de su expediente con su fecha de actualización del expediente.</t>
  </si>
  <si>
    <t>La evidencia de este control es un archivo Excel que prepara el Oficial de cumplimiento donde se tiene una lista de todos los clientes y los requerimientos de su expediente con su fecha de actualización del expediente.</t>
  </si>
  <si>
    <t>Mensualmente, el Oficial de Cumplimiento de acuerdo con lo establecido en la Providencia 209 (Art 85), debe reportar a través de un formulario la información de actividades que se consideren sospechosas vinculadas o no con los delitos de LC/FT/FPADM y Otros Ilícitos en un plazo que no debe exceder de treinta (30) días consecutivos siguientes a la fecha de realización de la operación.
La evidencia de este control es el archivo Excel que prepara el Oficial de cumplimiento donde se detallan si ocurrieron actividades sospechosas, observaciones y fecha de la detección de las actividades.</t>
  </si>
  <si>
    <t>Anualemente, el Oficial de Cumplimiento de acuerdo con lo establecido en la Providencia 209 (Art 29, 30 y 31), debe elaborar un informe sobre la ejecución del POA de AR LC/FT/FPADM y Otros Ilícitos, indicando el porcentaje de cumplimiento de cada aspecto de su contenido.
La evidencia de este control es el documento en PDF titulado “Plan Operativo Anual” el cual debe contener los aspectos mencionados en la providencia 209 actualizado y luego ser revisado y aprobado por la Junta Directiva.</t>
  </si>
  <si>
    <t>Bianualmente, el Oficial de Cumplimiento de acuerdo con lo establecido en la Providencia 209 (Art 10, 11, 12, 45, 46, 48, 49, 66, 68), debe mantener al día los expedientes de los inversores, incluyendo dentro de ellos: 
-Documentos consignados por el inversor
-Ficha de identificación del inversor
-Contrato de apertura de cuenta de corretaje bursátil o contrato de servicios
-Cualquier otro documento relacionado con el inversor y sus actividades. 
-Clasificación de su perfil de riesgo
-Verificación de antecedentes (incluyendo PEP) en las listas de verificación (ONU,OFAC).
La evidencia de este control es un archivo Excel que prepara el Oficial de cumplimiento donde se tiene una lista de todos los inversores y los requerimientos de su expediente con su fecha de actualización del expediente.</t>
  </si>
  <si>
    <t>Manual de Gobierno Corporativo</t>
  </si>
  <si>
    <r>
      <t xml:space="preserve">Artículo 41: Alcance
Los mecanismos de gestión de riesgos adoptados por el sujeto obligado deben consolidarse en un manual de políticas, normas y procedimientos para la AR LC/FT/FPADM y Otros Ilícitos, considerando sus características propias, su naturaleza jurídica, así como los diferentes productos y servicios que ofrece a sus inversores o participantes.
El manual de políticas, normas y procedimientos para la AR LC/FT/FPADM y Otros Ilícitos, debe ser aprobado por la junta directiva y ser remitido en formato digital a la Superintendencia Nacional de Valores, toda vez que sea elaborado por primera vez o tenga algunas actualizaciones de acuerdo al nivel de riesgo del sujeto obligado , sus cambios operativos, así como en el ordenamiento jurídico. 
</t>
    </r>
    <r>
      <rPr>
        <b/>
        <sz val="14"/>
        <color rgb="FFFF0000"/>
        <rFont val="Arial"/>
        <family val="2"/>
      </rPr>
      <t>En el expediente de cada empleado debe quedar constancia por escrito que ha tenido conocimiento del contenido del manual de políticas, normas y procedimientos de AR LC/FT/FPADM y Otros Ilícitos.</t>
    </r>
    <r>
      <rPr>
        <sz val="14"/>
        <color theme="1"/>
        <rFont val="Arial"/>
        <family val="2"/>
      </rPr>
      <t xml:space="preserve">
Artículo 42: Contenido del Manual
El manual de AR LC/FT/FPADM y Otros Ilícitos debe contener los aspectos mencionados en la providencia 209. 
Artículo 43: Actualización del Manual
El sujeto obligado debe mantener actualizado el manual de AR LC/FT/FPADM y Otros Ilícitos, de acuerdo a las necesidades y a las nuevas disposiciones que se emitan, siendo aprobado por la junta directiva, debiendo estar disponible para que dichas actualizaciones sean revisadas durante los procedimientos de inspecciones que realice la Superintendencia Nacional de Valores o cuando le sea requerida mediante oficio. </t>
    </r>
  </si>
  <si>
    <r>
      <t xml:space="preserve">Artículo 11: El sujeto obligado debe evaluar y ponderar los riesgos inherentes a la LC/FT/FPADM y Otros Ilícitos, clasificarlos según su perfil de riesgo entre altos, medios y bajos, o una clasificación más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t>
    </r>
    <r>
      <rPr>
        <b/>
        <sz val="14"/>
        <color rgb="FFFF0000"/>
        <rFont val="Arial"/>
        <family val="2"/>
      </rPr>
      <t>Artículo 36: Cada inducción, formación o capacitación sobre la AR LC/FT/FPADM debe constar en un documento elaborado por el sujeto obligado, donde se especifique su denominación y contenido, suscrito por el oficial de cumplimiento y los participantes, el cual debe reposar en sus expedientes y mantenerse a la disposición de la SUNAVAL.</t>
    </r>
    <r>
      <rPr>
        <sz val="14"/>
        <color theme="1"/>
        <rFont val="Arial"/>
        <family val="2"/>
      </rPr>
      <t xml:space="preserve">
Artículo 41: Los mecanismos de gestión de riesgos adoptados por el sujeto obligado deben consolidarse en un manual de políticas, normas y procedimientos para la AR LC/FT/FPADM y Otros Ilícitos, considerando sus características propias, su naturaleza jurídica, así como los diferentes productos y servicios que ofrece a sus inversores o participantes.
El manual de políticas, normas y procedimientos para la AR LC/FT/FPADM y Otros Ilícitos, debe ser aprobado por la junta directiva y ser remitido en formato digital a la Superintendencia Nacional de Valores, toda vez que sea elaborado por primera vez o tenga algunas actualizaciones de acuerdo al nivel de riesgo del sujeto obligado , sus cambios operativos, así como en el ordenamiento jurídico. 
</t>
    </r>
    <r>
      <rPr>
        <b/>
        <sz val="14"/>
        <color rgb="FFFF0000"/>
        <rFont val="Arial"/>
        <family val="2"/>
      </rPr>
      <t>En el expediente de cada empleado debe quedar constancia por escrito que ha tenido conocimiento del contenido del manual de políticas, normas y procedimientos de AR LC/FT/FPADM y Otros Ilícitos.</t>
    </r>
    <r>
      <rPr>
        <sz val="14"/>
        <color theme="1"/>
        <rFont val="Arial"/>
        <family val="2"/>
      </rPr>
      <t xml:space="preserve">
Artículo 63.- La gerencia de gestión y talento humano del sujeto obligado apoyado por el oficial de cumplimiento, debe formular e implementar una política de “Conozca su Empleado” que establezca un procedimiento de selección del personal (Nuevos ingresos) acorde con sus niveles de riesgo, verificando lo datos e informaciones por ellos aportados, así como las referencias de trabajos anteriores.
Artículo 64.- El sujeto obligado debe formar un expediente por cada empleado, que reposará en el área encargada de gestión y talento humano y debe estar a disposición de la SUNAVAL cuando este sea requerido por los funcionarios durante el procedimiento de inspección, así como de los organismos de control correspondientes, el expediente debe contener lo establecido en los manuales, instructivos, formatos y disposiciones normativas dictadas al efecto. 
Artículo 66.- (PEP) EI sujeto obligado debe tomar las medidas necesarias para mitigar el riesgo de participar deliberada o involuntariamente, en el encubrimiento de ejecución de operaciones derivadas de hechos ilícitos, por parte de figuras politices nacionales o extranjeras de alto nivel y su círculo de colaboradores. 
Artículo 66: Los sujetos obligados deben tomar las medidas reforzadas de debida diligencia cuando mantengan relaciones comerciales, de negocios u operaciones con clientes que son considerados bajo el perfil de una persona expuesta políticamente, nacionales o extranjeras de alto nivel y su círculo de colaboradores. Debido a que los riesgos planteados por las personas expuestas políticamente varían la identificación, monitoreo y el diseño de sistemas de gestión de riesgos para estos inversores, participantes o proveedores, y las transacciones efectuadas en sus cuentas deben estar basados según perfil de riesgo, de conformidad con lo establecido en los manuales, instructivos, formatos y disposiciones normativas dictadas al efecto.</t>
    </r>
  </si>
  <si>
    <t>Artículo 41: Alcance
En el expediente de cada empleado debe quedar constancia por escrito que ha tenido conocimiento del contenido del manual de políticas, normas y procedimientos de AR LC/FT/FPADM y Otros Ilícitos.</t>
  </si>
  <si>
    <t xml:space="preserve">Artículo 36: Cada inducción, formación o capacitación sobre la AR LC/FT/FPADM debe constar en un documento elaborado por el sujeto obligado, donde se especifique su denominación y contenido, suscrito por el oficial de cumplimiento y los participantes, el cual debe reposar en sus expedientes y mantenerse a la disposición de la SUNAVAL.
Artículo 41: En el expediente de cada empleado debe quedar constancia por escrito que ha tenido conocimiento del contenido del manual de políticas, normas y procedimientos de AR LC/FT/FPADM y Otros Ilícitos.
Artículo 63.- La gerencia de gestión y talento humano del sujeto obligado apoyado por el oficial de cumplimiento, debe formular e implementar una política de “Conozca su Empleado” que establezca un procedimiento de selección del personal (Nuevos ingresos) acorde con sus niveles de riesgo, verificando lo datos e informaciones por ellos aportados, así como las referencias de trabajos anteriores.
Artículo 64.- El sujeto obligado debe formar un expediente por cada empleado, que reposará en el área encargada de gestión y talento humano y debe estar a disposición de la SUNAVAL cuando este sea requerido por los funcionarios durante el procedimiento de inspección, así como de los organismos de control correspondientes, el expediente debe contener lo establecido en los manuales, instructivos, formatos y disposiciones normativas dictadas al efecto. </t>
  </si>
  <si>
    <t xml:space="preserve">Artículo 38: El código de ética o código de conducta debe ser aprobado por la junta directiva del sujeto obligado y estar disponible para su revisión por parte de los funcionarios de la SUNAVAL, durante las inspecciones. </t>
  </si>
  <si>
    <t>Anualmente, el Oficial de Cumplimiento de acuerdo con lo establecido en la Providencia 209 (Art 38), debe de validar el cumplimiento con la remisión de información y documentos específicos que demanda la SUNAVAL, siendo estos:
-Código de ética o código de conducta
La evidencia de este control es el codigo de ética y conducta aprobado.</t>
  </si>
  <si>
    <t>Carta de requerimiento</t>
  </si>
  <si>
    <t>Art Prov, 209</t>
  </si>
  <si>
    <t>Titulo</t>
  </si>
  <si>
    <t>Cumplimiento</t>
  </si>
  <si>
    <t>Formato de declaración de conocimiento del contenido del manual de políticas de la compañía.</t>
  </si>
  <si>
    <t xml:space="preserve">a-Formulario realizado por el empleado al momento de ingresar a la compañía. 
b-Certificado de inducción de dos empleados que ingresaron a la compañía.
C- Dos expedientes de empleados con su respectivo check list. </t>
  </si>
  <si>
    <t>a-Código de ética y conducta</t>
  </si>
  <si>
    <t>Anualmente, el Oficial de Cumplimiento de acuerdo con lo establecido en la Providencia 209 (Art 41), debe asegurar a traves de una muestra, que en el expediente de los empleados se encuentre debidamente resguardado y firmado el formato de declaración de conocimiento del contenido del manual de politicas, normas y procedimientos de AR LC/FT/PADN y otros licitos:
La evidencia de este control es el formulario resguardado y firmado en el expediente del empleado</t>
  </si>
  <si>
    <t xml:space="preserve">Cada vez que ingrese un nuevo empleado, el departamento de RRHH y el Oficial de Cumplimiento de acuerdo con lo establecido en la Providencia 209 (Art 11, 36, 41, 63, 64, 66), deben velar por la completitud de los siguientes formularios:
-Ficha del empleado actualizada 
-Documentos consignados por el empleado
-Clasificación de su perfil de riesgo
-Confirmación de asistencia a inducciones, formaciones o capacitaciones.
-Constancia por escrito sobre el conocimiento del contenido del manual de políticas, normas y procedimientos de AR LC/FT/FPADM y Otros Ilícitos.
-Verificación de antecedentes en las listas de verificación (ONU,OFAC). </t>
  </si>
  <si>
    <t xml:space="preserve">Errores en la operatoria del negocio por parte del empleado debido a desconocimiento de los temas AR/LC/FT/FPADM, derivando en posibles pérdidas económicas y/o reputacional por incumplimiento normativo.
</t>
  </si>
  <si>
    <t>Omisión de documentos obligatorios resguardadados en el expediente del empelado derivando en posibles sanciones por el ente regulador</t>
  </si>
  <si>
    <t xml:space="preserve">Errores en la operatoria del negocio por parte del empleado debido a desconocimiento del código de ética, derivando en posibles pérdidas económicas y/o reputacional por incumplimiento normativo.
</t>
  </si>
  <si>
    <t xml:space="preserve">Artículo 26: El sujeto obligado designara un responsable de cumplimiento por cada área sensible a presentar riesgos relacionados con los delitos de LC/FT/FPADM y Otros Ilícitos, que forme parte de su estructura organizativa. Deben ser designados individualmente por escritos, especificando claramente sus funciones y ser dotados de los instrumentos y la capacitación necesaria para el cabal cumplimiento de las mismas. 
Serán consideradas áreas sensibles de riesgo, las siguientes: Auditoría Interna, Consultoría Jurídica, Gestión y Talento Humano, Seguridad, Tecnología, Oficina de Administración, Negocios, Contabilidad, Operaciones, Tesorería, Riesgos, Mesas de Operaciones Bursátiles, y cualquier otra donde se realicen actividades y operaciones vinculadas con el objeto del sujeto obligado.
Artículo 69: Los sujetos obligados debe prestar especial atención a cualquier riesgo de los delitos de LC/FT/FPADM y Otros Ilícitos, que surjan de la utilización de las nuevas tecnologías, que dificulten la verificación de la identidad del inversor o participante y adoptar las medidas para impedir su utilización con fines ilícitos, por ello debe instaurar políticas y procedimientos para hacer frente a cualquier riesgo especifico asociado con las relaciones comerciales, de negocios u operaciones que no impliquen la presencia física de las partes.
Al aplicar las medidas basadas en la identificación de los riesgos relacionados con los delitos de LC/FT/FPDM y Otros Ilícitos, el sujeto obligado tendrá en cuenta las consideraciones establecidas en los manuales, instructivos, formatos y disposiciones normativas dictadas al efecto. </t>
  </si>
  <si>
    <t xml:space="preserve">Anualmente, el responsable de cumplimiento del área de Tecnología de acuerdo con lo establecido en la Providencia 209 (Art 26 y 69) debe firmar el formato de declaración de conocimiento de sus funciones, instrumentos y capacitaciones necesarias para su cumplimiento, y debe actualizar el manual de las tecnologías utilizadas en la organización. </t>
  </si>
  <si>
    <t>a.	Asignación del responsable de cumplimiento del área de Tecnología
b.	Documento donde se detallen las funciones, instrumentos y capacitaciones necesarias para el cumplimiento de las funciones del responsable del área. 
c.	Manual sobre las tecnologías utilizadas dentro de la organización</t>
  </si>
  <si>
    <t>Artículo 10: El sujeto obligado debe efectuar la segmentación mediante la consolidación de los factores de riesgo y demás variables, a través de la creación de los perfiles de riesgos, fundamentándose en el reconocimiento de diferencias significativas, de conformidad con el conocimiento de éstos, la naturaleza de sus operaciones, disponibilidad de datos y tomando en cuenta, como mínimo, las siguientes variables para cada segmento:
a) Tipo de Emisor, Inversor, Participante o Proveedor
b)Actividades económicas a las que se dedican
c)Origen de los recursos
Artículo 11: El sujeto obligado debe evaluar y ponderar los riesgos inherentes a la LC/FT/FPADM y Otros Ilícitos, clasificarlos según su perfil de riesgo entre altos, medios y bajos, o una clasificación más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Artículo 12: El sujeto obligado debe dar un nivel de riesgo a cada factor (Inversores, Emisores, Participantes o Proveedores), cuantificar la incidencia del riesgo (impacto) y considerar como de alto riesgo en su SIAR LC/FT/FPADM y Otros Iliciticos.
Articulo 60: Los Sujetos obligados deben mantener un registro individual de cada uno de los proveedores de servicios, con los que establezca una relación financiera, comercial o de negocios; aplicando un enfoque basado en riesgos, para la recabar la información necesaria de su identificación, a los fines de realizar la verificación correspondiente, al momento de iniciar el vínculo financiero, comercial o de negocios. 
Artículo 61: L identificación del proveedor de servicios se realizará utilizando las mismas reglas utilizadas en la política conozca a su inversor, en cuento le sean aplicables. 
Artículo 62: La verificación de la información podrá efectuarse a través de los órganos y entes de la Administración Publica Nacional y otras fuentes abiertas o cerradas, que permita la comprobación de los datos de sus proveedores de servicios, debiendo mantener su expediente actualizado y revisado anualmente. 
Artículo 66: Los sujetos obligados deben tomar las medidas reforzadas de debida diligencia cuando mantengan relaciones comerciales, de negocios u operaciones con clientes que son considerados bajo el perfil de una persona expuesta políticamente, nacionales o extranjeras de alto nivel y su círculo de colaboradores. Debido a que los riesgos planteados por las personas expuestas políticamente varían la identificación, monitoreo y el diseño de sistemas de gestión de riesgos para estos inversores, participantes o proveedores, y las transacciones efectuadas en sus cuentas deben estar basados según perfil de riesgo, de conformidad con lo establecido en los manuales, instructivos, formatos y disposiciones normativas dictadas al efecto.
Artículo 68: Las sociedades cuyos valores sean objeto de oferta pública deberán suministrar dentro de siete (7) días continuos, siguientes a la celebración de la respectiva asamblea de accionistas, un informe sobre los métodos y procedimientos aplicados en su organización, para prevenir la utilización de los mismos como medio para legitimar capitales, de conformidad con la ley y normas vigentes que regulen la materia.</t>
  </si>
  <si>
    <t xml:space="preserve">Cada vez que ingrese un nuevo proveedor, el Oficial de Cumplimiento de acuerdo con lo establecido en la Providencia 209 (Art 10, 11, 12, 60, 61, 62 66, 68), deben velar por la completitud de los siguientes formularios:
-Ficha del proveedor actualizada 
-Documentos consignados por el proveedor
-Clasificación de su perfil de riesgo
-Verificación de antecedentes en las listas de verificación (ONU,OFAC). </t>
  </si>
  <si>
    <t>Cada vez que ingrese un nuevo inversor, el Oficial de Cumplimiento de acuerdo con lo establecido en la Providencia 209 (Art 10, 11, 12, 45, 46, 48, 49, 66, 68), deben velar por la completitud de los siguientes formularios:
-Documentos consignados por el inversor
-Ficha de identificación del inversor
-Contrato de apertura de cuenta de corretaje bursátil o contrato de servicios
-Cualquier otro documento relacionado con el inversor y sus actividades. 
-Clasificación de su perfil de riesgo
-Verificación de antecedentes (incluyendo PEP) en las listas de verificación (ONU,OFAC).</t>
  </si>
  <si>
    <t>a-Formulario de registro de proveedores.
b- Actualización de proveedores.
c- Dos expedientes de proveedores con su respectivo check list:
	-Ficha del proveedor actualizada 
-Documentos consignados por el proveedor
-Clasificación de su perfil de riesgo
-Verificación de antecedentes en las listas de verificación (ONU,OFAC).</t>
  </si>
  <si>
    <t>Responsable del Área de Tecnoloía</t>
  </si>
  <si>
    <t xml:space="preserve">LOCLDOFT
Artículo 10. Los sujetos obligados conservarán en forma física y digital durante un período mínimo de cinco años, los documentos o registros correspondientes que comprueben la realización de las operaciones y las relaciones de negocios de los clientes o usuarios con éstos, así como los documentos exigidos para su identificación al momento de establecer relaciones de negocios con el sujeto obligado. El plazo indicado se contará: 
1. Para los documentos relativos a la identificación de clientes o usuarios (copias o registro de documentos de identidad oficiales, tales como pasaporte, cédula de identidad, permiso de conducir o documentos similares) a partir del día en que finalice la relación. 
2. Para aquellos documentos que acrediten una operación, a partir de la ejecución de ésta. 
3. Para los reportes de actividades sospechosas, a partir de la remisión del mismo. 
4. Para la correspondencia comercial, después de haber concluido la relación comercial. 
El incumplimiento de esta norma será sancionada por el órgano o ente de control del sujeto obligado con multa equivalente entre trescientas unidades tributarias (300 U.T.) y quinientas unidades tributarias (500 U.T.). </t>
  </si>
  <si>
    <t xml:space="preserve">Cada vez que ingrese un nuevo cliente, el Oficial de Cumplimiento de acuerdo con lo establecido en la LOCLDOFT (Art 10), deben velar por la completitud de los siguientes formularios:
-Ficha del cliente actualizada 
-Documentos consignados por el cliente
-Clasificación de su perfil de riesgo
-Verificación de antecedentes en las listas de verificación (ONU,OFAC). </t>
  </si>
  <si>
    <t>a-Formulario de registro de clientes junto con su soporte del análisis que realiza el área de crédito y cobranza
b- Actualización de clientes.
c- Expediente de un cliente con su respectivo check list:
	-Ficha del cliente actualizada 
-Documentos consignados por el cliente
-Clasificación de su perfil de riesgo
-Verificación de antecedentes en las listas de verificación (ONU,OFAC). 
d-Formato de visita al cliente con sus respectivas firmas</t>
  </si>
  <si>
    <t>PCLCFT. 0 Carta de Requerimientos de Tesorería</t>
  </si>
  <si>
    <t xml:space="preserve">PCLCFT. 0 Carta de requerimientos Contraloría Comercial  (Clientes) </t>
  </si>
  <si>
    <t>PCLCFT. 0 Carta de requerimientos Tecnología.</t>
  </si>
  <si>
    <t>a-Formulario de registro de inversores.
b- Actualización de inversores.
c- Dos expedientes de inversores con su respectivo check list:
	-Documentos consignados por el inversor
-Ficha de identificación del inversor
-Contrato de apertura de cuenta de corretaje bursátil o contrato de servicios
-Cualquier otro documento relacionado con el inversor y sus actividades. 
-Clasificación de su perfil de riesgo
d-Informe anual y trimestral que se envía a los accionistas.</t>
  </si>
  <si>
    <t>No existe una actividad de Control por parte de Santa Teresa Vigente</t>
  </si>
  <si>
    <t>Errores en la operatoria del negocio por parte de la utilización de las nuevas tecnologías, debido a caídas de los sistemas derivando en posibles pérdidas económicas y/o reputacional por incumplimiento normativo.</t>
  </si>
  <si>
    <t>Realización de pagos y facturas no autorizadas debido a proveedores no autorizados derivando en posibles pérdidas económicas y/o reputacional por incumplimiento normativo.</t>
  </si>
  <si>
    <t>Realización de pagos y facturas no autorizadas debido a clientes no autorizados derivando en posibles pérdidas económicas y/o reputacional por incumplimiento normativo.</t>
  </si>
  <si>
    <t>Matriz de Riesgos y Controles</t>
  </si>
  <si>
    <t>Ausencia y/o inadecuada comunicación y evidencia del manual de políticas, normas y procedimientos de prevención y control de LC/FT/FPADM y otros Ilícitos a los colaboradores, derivando en posibles sanciones por el ente regulador</t>
  </si>
  <si>
    <t xml:space="preserve">Ausencia de un programa de inducción a nuevos ingresos y al personal activo de la organización en  temas AR/LC/FT/FPADM, derivando en  posibles situaciones inusuales, sanciones y/o daño reputacional por incumplimiento normativo.
</t>
  </si>
  <si>
    <t xml:space="preserve">Inadecuada verificación y soporte de los datos suministrados por el personal al momento de su evaluación para su posible contratación, derivando en posibles situaciones inusuales, pérdidas económicas y/o reputacional por incumplimiento normativo.
</t>
  </si>
  <si>
    <t>Cada vez que ingrese un nuevo empleado, el departamento de RRHH y el Oficial de Cumplimiento de acuerdo con lo establecido en la Providencia 209 (Art 11, 36, 41, 63, 64, 66), deben velar por la completitud de los siguientes formularios:
-Ficha del empleado actualizada 
-Documentos consignados por el empleado
-Clasificación de su perfil de riesgo
-Constancia por escrito sobre el conocimiento del contenido del manual de políticas, normas y procedimientos de AR LC/FT/FPADM y Otros Ilícitos.
-Verificación de antecedentes en las listas de verificación (ONU,OFAC). 
Existe un formato de "Lista de Chequeo" donde se evidencia la verificación de la información así como otros aspectos propios de la contratación.</t>
  </si>
  <si>
    <t>Segmentación</t>
  </si>
  <si>
    <t>1a.Tipo de EIPP</t>
  </si>
  <si>
    <t>Medio</t>
  </si>
  <si>
    <t>Estructura</t>
  </si>
  <si>
    <t>Alto</t>
  </si>
  <si>
    <t>El SIAR LCFTFPADM se encuentra debidamente conformado y aprobado por JD, todos los miembros están debidamente capacitados para dar cumplimiento a la legislación vigente.</t>
  </si>
  <si>
    <t xml:space="preserve">Se encuentran debidamente designados y aprobados por el SIAR Responsables de cumplimiento por cada área de riesgo identificada en la organización, 
-Consultoría Jurídica
-Tecnología
-Negocios
-Contabilidad
-Tesorería
-RRHH
-Mesas de Operaciones Bursátiles
</t>
  </si>
  <si>
    <t>Empleados</t>
  </si>
  <si>
    <t xml:space="preserve">Cada vez que ocurra es reportado a la  Unidad Nacional de Inteligencia Financiera (UNIF) mediante el formato RAS, cualquier actividad o situación sospechosa, dentro de un lapso máximo de treinta (30) días consecutivos siguientes a la fecha de realización de la operación. </t>
  </si>
  <si>
    <t xml:space="preserve">Tipo de Riesgo </t>
  </si>
  <si>
    <t>PCLCFT01</t>
  </si>
  <si>
    <t>PCLCFT02</t>
  </si>
  <si>
    <t>PCLCFT03</t>
  </si>
  <si>
    <t>PCLCFT04</t>
  </si>
  <si>
    <t>PCLCFT05</t>
  </si>
  <si>
    <t>PCLCFT06</t>
  </si>
  <si>
    <t>PCLCFT07</t>
  </si>
  <si>
    <t>PCLCFT08</t>
  </si>
  <si>
    <t>PCLCFT09</t>
  </si>
  <si>
    <t>PCLCFT10</t>
  </si>
  <si>
    <t>PCLCFT11</t>
  </si>
  <si>
    <t>PCLCFT12</t>
  </si>
  <si>
    <t>PCLCFT13</t>
  </si>
  <si>
    <t>PCLCFT14</t>
  </si>
  <si>
    <t>PCLCFT15</t>
  </si>
  <si>
    <t>PCLCFT18</t>
  </si>
  <si>
    <t>R15</t>
  </si>
  <si>
    <t>R16</t>
  </si>
  <si>
    <t>R17</t>
  </si>
  <si>
    <t>R18</t>
  </si>
  <si>
    <r>
      <rPr>
        <b/>
        <sz val="14"/>
        <rFont val="Arial"/>
        <family val="2"/>
      </rPr>
      <t>Artículo 28</t>
    </r>
    <r>
      <rPr>
        <sz val="14"/>
        <rFont val="Arial"/>
        <family val="2"/>
      </rPr>
      <t xml:space="preserve">.
Los empleados del sujeto obligado deben informar al respectivo responsable de cumplimiento o directamente al oficial de cumplimiento, las operaciones o actividades inusuales observadas en el desempeño de sus labores, así como aquellas observadas en el entorno laboral que pudieran a su juicio presentar riesgos relacionados con los delitos de LC/FT/FPADM y Otros Ilícitos, en cumplimiento y observancia de lo establecido en el Manual de Políticas, Normas y Procedimientos de AR LC/FT/FPADM y Otros Ilícitos.
</t>
    </r>
  </si>
  <si>
    <r>
      <rPr>
        <b/>
        <sz val="14"/>
        <color theme="1"/>
        <rFont val="Arial"/>
        <family val="2"/>
      </rPr>
      <t>Artículo 27</t>
    </r>
    <r>
      <rPr>
        <sz val="14"/>
        <color theme="1"/>
        <rFont val="Arial"/>
        <family val="2"/>
      </rPr>
      <t>: 
El responsable de cumplimiento tendrá las siguientes funciones:
1.Servir de enlace con el oficial de cumplimiento y prestarle apoyo en las labores de AR LC/FT/FPADM y Otros Ilícitos, en cada una de sus áreas de responsabilidad;
2. Aplicar y supervisar las providencias, políticas y procedimientos de AR 1C/FT/FPADM y Otros Ilícitos, en cada una de sus áreas de su responsabilidad;
3. Asesorar y apoyar al personal de su área de responsabilidad, en lo relacionado a los procedimientos de AR LC/FT/FPADM y Otros Ilícitos;
4. Elaborar sus respectivos planes anuales de seguimiento, evaluación y supervisión de administración de riesgos, que serán aplicados para asegurarse que sus funciones en la AR LC/FT/FPADM y Otros Ilícitos, se estén cumpliendo adecuadamente;
5. Otras estrictamente relacionadas con la AR LC/FT/FPADM y Otros Ilícitos, señaladas por el oficial de cumplimiento, la junta directiva del sujeto obligado o la Superintendencia Nacional de Valores.</t>
    </r>
  </si>
  <si>
    <r>
      <rPr>
        <b/>
        <sz val="14"/>
        <color theme="1"/>
        <rFont val="Arial"/>
        <family val="2"/>
      </rPr>
      <t>Articulo 38</t>
    </r>
    <r>
      <rPr>
        <sz val="14"/>
        <color theme="1"/>
        <rFont val="Arial"/>
        <family val="2"/>
      </rPr>
      <t>.- 
El sujeto obligado debe diseñar y adoptar un código de ética o código de conducta.
El código de ética o código de conducta debe ser aprobado por la junta directiva del sujeto obligado.</t>
    </r>
  </si>
  <si>
    <r>
      <rPr>
        <b/>
        <sz val="14"/>
        <rFont val="Arial"/>
        <family val="2"/>
      </rPr>
      <t>UAR LC/FT/FPAMD
Artículo 22</t>
    </r>
    <r>
      <rPr>
        <sz val="14"/>
        <rFont val="Arial"/>
        <family val="2"/>
      </rPr>
      <t xml:space="preserve">. -Es el órgano técnico operativo del sujeto obligado, a cargo de una persona de reconocida condición ética y moral, que posea título de educación superior o técnico, con experiencia o conocimiento de los productos…
</t>
    </r>
    <r>
      <rPr>
        <b/>
        <sz val="14"/>
        <rFont val="Arial"/>
        <family val="2"/>
      </rPr>
      <t>Artículo 23</t>
    </r>
    <r>
      <rPr>
        <sz val="14"/>
        <rFont val="Arial"/>
        <family val="2"/>
      </rPr>
      <t xml:space="preserve">.- Conformación de la unidad
</t>
    </r>
    <r>
      <rPr>
        <b/>
        <sz val="14"/>
        <rFont val="Arial"/>
        <family val="2"/>
      </rPr>
      <t>Artículo 24</t>
    </r>
    <r>
      <rPr>
        <sz val="14"/>
        <rFont val="Arial"/>
        <family val="2"/>
      </rPr>
      <t xml:space="preserve">.- Obligaciones del Gerente de la unidad
</t>
    </r>
    <r>
      <rPr>
        <b/>
        <sz val="14"/>
        <rFont val="Arial"/>
        <family val="2"/>
      </rPr>
      <t>Artículo 25</t>
    </r>
    <r>
      <rPr>
        <sz val="14"/>
        <rFont val="Arial"/>
        <family val="2"/>
      </rPr>
      <t xml:space="preserve">.- Obligaciones del Analista de la unidad
</t>
    </r>
  </si>
  <si>
    <t>Ausencia de un POA que permita definir, ejecutar y hacer seguimiento a las actividades necesarias para manejar los riesgos de LC/FT/FPDAM, así como la consignación oportuna ante el ente regulador.</t>
  </si>
  <si>
    <t>Incumplimiento por parte del OC de la presentación trimestral del informe de ejecución del POA, ocasionando posibles sanciones a la organización</t>
  </si>
  <si>
    <t xml:space="preserve">Trimestralmente, el OC presenta ante el ente regulador el informe correspondiente al avance en la ejecución del POA a la Junta Directiva para su aprobación y seguimiento. </t>
  </si>
  <si>
    <r>
      <rPr>
        <b/>
        <sz val="14"/>
        <rFont val="Arial"/>
        <family val="2"/>
      </rPr>
      <t>Artículo 45</t>
    </r>
    <r>
      <rPr>
        <sz val="14"/>
        <rFont val="Arial"/>
        <family val="2"/>
      </rPr>
      <t>: Los sujetos obligados bajo el enfoque basado en riesgo, debe llevar un registro individual por cada uno de sus inversores a objeto de obtener y mantener actualizada la… a fin de comprobar fehacientemente su identificación, beneficiario, actividades económicas.. definir perfil...</t>
    </r>
  </si>
  <si>
    <t xml:space="preserve">Inadecuado registro y verificación de la información suministrada por los inversores, generando como consecuencia daños reputacionales, económicos e incumplimiento de la legislación vigente
</t>
  </si>
  <si>
    <r>
      <rPr>
        <b/>
        <sz val="14"/>
        <rFont val="Arial"/>
        <family val="2"/>
      </rPr>
      <t>Artículo 63</t>
    </r>
    <r>
      <rPr>
        <sz val="14"/>
        <rFont val="Arial"/>
        <family val="2"/>
      </rPr>
      <t xml:space="preserve">.- La gerencia de gestión y talento humano del sujeto obligado apoyado por el oficial de cumplimiento, debe formular e implementar una política de “Conozca su Empleado” que establezca un procedimiento de selección del personal (Nuevos ingresos) acorde con sus niveles de riesgo, verificando lo datos e informaciones por ellos aportados, así como las referencias de trabajos anteriores.
</t>
    </r>
    <r>
      <rPr>
        <b/>
        <sz val="14"/>
        <rFont val="Arial"/>
        <family val="2"/>
      </rPr>
      <t>Artículo 64</t>
    </r>
    <r>
      <rPr>
        <sz val="14"/>
        <rFont val="Arial"/>
        <family val="2"/>
      </rPr>
      <t xml:space="preserve">.- El sujeto obligado debe formar un expediente por cada empleado, que reposará en el área encargada de gestión y talento humano y debe estar a disposición de la SUNAVAL cuando este sea requerido por los funcionarios durante el procedimiento de inspección, así como de los organismos de control correspondientes, el expediente debe contener lo establecido en los manuales, instructivos, formatos y disposiciones normativas dictadas al efecto. </t>
    </r>
  </si>
  <si>
    <t>Capítulo V. Conozca su empleado</t>
  </si>
  <si>
    <t>Capítulo IV. Conozca su proveedor</t>
  </si>
  <si>
    <r>
      <rPr>
        <b/>
        <sz val="14"/>
        <rFont val="Arial"/>
        <family val="2"/>
      </rPr>
      <t>Articulo 60</t>
    </r>
    <r>
      <rPr>
        <sz val="14"/>
        <rFont val="Arial"/>
        <family val="2"/>
      </rPr>
      <t xml:space="preserve">: Los Sujetos obligados deben mantener un registro individual de cada uno de los proveedores de servicios, con los que establezca una relación financiera, comercial o de negocios; aplicando un enfoque basado en riesgos, para la recabar la información necesaria de su identificación, a los fines de realizar la verificación correspondiente, al momento de iniciar el vínculo financiero, comercial o de negocios. 
</t>
    </r>
    <r>
      <rPr>
        <b/>
        <sz val="14"/>
        <rFont val="Arial"/>
        <family val="2"/>
      </rPr>
      <t>Artículo 61</t>
    </r>
    <r>
      <rPr>
        <sz val="14"/>
        <rFont val="Arial"/>
        <family val="2"/>
      </rPr>
      <t xml:space="preserve">: La identificación del proveedor de servicios se realizará utilizando las mismas reglas utilizadas en la política conozca a su inversor, en cuento le sean aplicables. 
</t>
    </r>
    <r>
      <rPr>
        <b/>
        <sz val="14"/>
        <rFont val="Arial"/>
        <family val="2"/>
      </rPr>
      <t>Artículo 62</t>
    </r>
    <r>
      <rPr>
        <sz val="14"/>
        <rFont val="Arial"/>
        <family val="2"/>
      </rPr>
      <t xml:space="preserve">: La verificación de la información podrá efectuarse a través de los órganos y entes de la Administración Publica Nacional y otras fuentes abiertas o cerradas, que permita la comprobación de los datos de sus proveedores de servicios, debiendo mantener su expediente actualizado y revisado anualmente. </t>
    </r>
  </si>
  <si>
    <t xml:space="preserve">Inadecuado registro y verificación de la información suministrada por los proveedores de bienes o servicios antes y durante la relación comercial, generando como consecuencia daños reputacionales, económicos e incumplimiento de la legislación vigente
</t>
  </si>
  <si>
    <t>PCLCFT. 05 Reporte de Actividades Sospechosas (RAS)</t>
  </si>
  <si>
    <t xml:space="preserve">Cada vez que ingrese un nuevo inversor, accionista, participante, empleado, cliente, proveedor o cualquier persona natural o jurídica, el Oficial de Cumplimiento de acuerdo con lo establecido en la Providencia 209 (Art 10, 11, 12, 60, 61, 62 66, 68), deben velar por la completitud de los siguientes formularios (según aplique):
-Ficha del proveedor actualizada 
-Documentos consignados
-Clasificación de su perfil de riesgo
-Verificación de antecedentes en las listas de verificación (ONU,OFAC). </t>
  </si>
  <si>
    <t>PCLCFT. 01 Administración de riesgo</t>
  </si>
  <si>
    <t xml:space="preserve">
PCLCFT. 02 Estructura</t>
  </si>
  <si>
    <t>PCLCFT. 04 Revisión de expedientes (Inversores, participantes o accionistas)</t>
  </si>
  <si>
    <t>PCLCFT. 05 Revisión de expedientes (Proveedores)</t>
  </si>
  <si>
    <t>PCLCFT. 06 Revisión de expedientes (Empleados)</t>
  </si>
  <si>
    <t>PCLCFT. 07 Tecnología.</t>
  </si>
  <si>
    <t>PCLCFT. 08 Reporte de Actividades Sospechosas (RAS)</t>
  </si>
  <si>
    <t>R19</t>
  </si>
  <si>
    <r>
      <rPr>
        <b/>
        <sz val="14"/>
        <rFont val="Arial"/>
        <family val="2"/>
      </rPr>
      <t>Artículo 10</t>
    </r>
    <r>
      <rPr>
        <sz val="14"/>
        <rFont val="Arial"/>
        <family val="2"/>
      </rPr>
      <t xml:space="preserve">: El sujeto obligado debe efectuar la segmentación mediante la consolidación de los factores de riesgo y demás variables, a través de la creación de los perfiles de riesgos, fundamentándose en el reconocimiento de diferencias significativas, de conformidad con el conocimiento de éstos, la naturaleza de sus operaciones, disponibilidad de datos y tomando en cuenta, como mínimo, las siguientes variables para cada segmento:
a) Tipo de Emisor, Inversor, Participante o Proveedor
b)Actividades económicas a las que se dedican
c)Origen de los recursos
</t>
    </r>
    <r>
      <rPr>
        <b/>
        <sz val="14"/>
        <rFont val="Arial"/>
        <family val="2"/>
      </rPr>
      <t>Artículo 11</t>
    </r>
    <r>
      <rPr>
        <sz val="14"/>
        <rFont val="Arial"/>
        <family val="2"/>
      </rPr>
      <t xml:space="preserve">: El sujeto obligado debe evaluar y ponderar los riesgos inherentes a la LC/FT/FPADM y Otros Ilícitos, clasificarlos según su perfil de riesgo entre altos, medios y bajos, o una clasificación más extendida, a los fines de desarrollar una adecuada, eficiente y eficaz administración de los riesgos identificados, entre sus empleados, inversores, participantes, actores del mercado, proveedores, productos o servicios, zonas geográficas, canales de distribución o comercialización y nuevas tecnologías vinculadas a estos. 
</t>
    </r>
    <r>
      <rPr>
        <b/>
        <sz val="14"/>
        <rFont val="Arial"/>
        <family val="2"/>
      </rPr>
      <t>Artículo 12</t>
    </r>
    <r>
      <rPr>
        <sz val="14"/>
        <rFont val="Arial"/>
        <family val="2"/>
      </rPr>
      <t>: El sujeto obligado debe dar un nivel de riesgo a cada factor (Inversores, Emisores, Participantes o Proveedores), cuantificar la incidencia del riesgo (impacto) y considerar como de alto riesgo en su SIAR LC/FT/FPADM y Otros Iliciticos</t>
    </r>
  </si>
  <si>
    <r>
      <rPr>
        <b/>
        <sz val="14"/>
        <rFont val="Arial"/>
        <family val="2"/>
      </rPr>
      <t>Artículo 12 #4:</t>
    </r>
    <r>
      <rPr>
        <sz val="14"/>
        <rFont val="Arial"/>
        <family val="2"/>
      </rPr>
      <t xml:space="preserve">
El sujeto obligado debe dar un nivel de riesgo a cada factor…:
#4 Canales de distribución y comercialización.
A. Operaciones o transacciones a través de intermediarios que presenten conflicto de intereses.
B. Intermediarios que hayan sido sancionados o no cumplan con estas normas para la AR LC/FT/FPADM</t>
    </r>
  </si>
  <si>
    <t>PCLCFT16</t>
  </si>
  <si>
    <t>PCLCFT19</t>
  </si>
  <si>
    <t>PCLCFT20</t>
  </si>
  <si>
    <t>PCLCFT21</t>
  </si>
  <si>
    <t>PCLCFT22</t>
  </si>
  <si>
    <t>Bajo</t>
  </si>
  <si>
    <t xml:space="preserve">Leyenda de controles </t>
  </si>
  <si>
    <t>Control sugerido</t>
  </si>
  <si>
    <t>Control actual (según entrevista con el área)</t>
  </si>
  <si>
    <t>Control con oportunidad de mejora</t>
  </si>
  <si>
    <t>Ponderación/
Impacto
(A,M,B)</t>
  </si>
  <si>
    <t>Cada vez que inicia una nueva relación comercial, se realiza un proceso de verificación y validación de la información jurídica y financiera del proveedor, la cual se deja archivada en expedientes individuales. Anualmente se realiza una actualización de los proveedores estratégicos y se deja evidencia en los expedientes.</t>
  </si>
  <si>
    <t>5. Nuevas Tecnologías</t>
  </si>
  <si>
    <t>Asignación indebida de roles, funciones y responsabilidades relacionadas con los delitos de LC/FT/PADM y otros ilícitos.
Uso inadecuado de los aplicativos y/o herramientas tecnológicas utilizados para la verificación de inversores y participantes, ocasionando  relaciones comerciales con sujetos sancionados.</t>
  </si>
  <si>
    <t xml:space="preserve">El responsable de cumplimiento del área de Tecnología de acuerdo con lo establecido en la Providencia 209 (Art 26 y 69) debe firmar el formato de declaración de conocimiento de sus funciones, instrumentos y capacitaciones necesarias para su cumplimiento, y debe actualizar el manual de las tecnologías utilizadas en la organización.
Semanalmente, se genera el reporte early Watch" donde se informa de cualquier situación inusual o sospechosa, tales como accesos indebidos, actividades inusuales de usuarios, acceso a bases de datos, etc. Este reporte se emite de manera automática desde el sistema SAP bajo la configuración de Buenas practicas standard de SAP. </t>
  </si>
  <si>
    <r>
      <rPr>
        <b/>
        <sz val="14"/>
        <rFont val="Arial"/>
        <family val="2"/>
      </rPr>
      <t xml:space="preserve">Artículo 15: </t>
    </r>
    <r>
      <rPr>
        <sz val="14"/>
        <rFont val="Arial"/>
        <family val="2"/>
      </rPr>
      <t xml:space="preserve">
Conformación del SIAR LCFTFPADM:
1. La Junta Directiva o el Órgano que ejerza fundan equivalente; 
2. El presidente del sujeto obligado que ejerza función equivalente.
3. El oficial de cumplimiento.
4. La Unidad de AR LC/FI'/FPADM v Otros Ilícitos; 
5. El Responsable de Cumplimiento designado en cada área sensible de riesgo
6. Los Responsables de primera línea de contacto. </t>
    </r>
  </si>
  <si>
    <t xml:space="preserve">Ausencia de un SIAR LCTFPADM según lo establecido en el Art 15 que vele por el cumplimiento de la normativa y que conste de instrumentos, procedimientos, mecanismos y sistema de gestión de riesgos adecuado.
</t>
  </si>
  <si>
    <t>Incumplimiento de los tiempos de comunicación a la SUNAVAL de los designados responsables de las funciones de Oficial de Cumplimiento y de la UAR LC/FT/FPADM) dentro de los lapsos establecidos en la legislación vigente.</t>
  </si>
  <si>
    <t xml:space="preserve">Inexistencia de un órgano técnico operativo (UAR LCFTFPADM) con experiencia y conocimiento de los procesos, productos y servicios del mercado de valores y de AR LCFTFPADM y otros ilícitos acorde con lo establecido en los Art 22, 23,24 y 25 de la legislación vigente. 
</t>
  </si>
  <si>
    <t xml:space="preserve">Ausencia de la asignación de Responsables de cumplimiento por áreas de riesgo que lleven a cabo las funciones de enlace con el OF, así como la supervisión, asesoría, apoyo, evaluación y seguimiento a los procedimientos relacionados con la AR LCFTFPADM. </t>
  </si>
  <si>
    <t>Ausencia de mecanismos que permitan la identificación y reporte de operaciones o actividades inusuales en el entorno laboral que representen una amenaza de posibles delitos de LCFTFPADM y otros ilícitos.</t>
  </si>
  <si>
    <t>PCLCFT. 03 Plan Operativo Anual (POA)</t>
  </si>
  <si>
    <r>
      <rPr>
        <b/>
        <sz val="14"/>
        <color theme="1"/>
        <rFont val="Arial"/>
        <family val="2"/>
      </rPr>
      <t>Artículo 29</t>
    </r>
    <r>
      <rPr>
        <sz val="14"/>
        <color theme="1"/>
        <rFont val="Arial"/>
        <family val="2"/>
      </rPr>
      <t xml:space="preserve">. El sujeto obligado debe diseñar y ejecutar un plan operativo anual de AR/LC/FT/FPADM, de conformidad con las disposiciones establecidas en los manuales. Dicho plan debe ser elaborado y aprobado durante el último trimestre del año anterior a su ejecución y deberá ser consignado ante el Ente regulador, dentro de los primeros quince (15) días hábiles del año de su ejecución. 
</t>
    </r>
    <r>
      <rPr>
        <b/>
        <sz val="14"/>
        <color theme="1"/>
        <rFont val="Arial"/>
        <family val="2"/>
      </rPr>
      <t>Artículo 30</t>
    </r>
    <r>
      <rPr>
        <sz val="14"/>
        <color theme="1"/>
        <rFont val="Arial"/>
        <family val="2"/>
      </rPr>
      <t xml:space="preserve">.~ El plan operativo anual ARLC/Fl'/FPADM, deberá contener los siguientes elementos: actividades, objetivos, responsables, unidad de medida, metas, insumos, costos, tiempo de ejecución y otras.
</t>
    </r>
  </si>
  <si>
    <r>
      <rPr>
        <b/>
        <sz val="14"/>
        <color theme="1"/>
        <rFont val="Arial"/>
        <family val="2"/>
      </rPr>
      <t>Artículo 31</t>
    </r>
    <r>
      <rPr>
        <sz val="14"/>
        <color theme="1"/>
        <rFont val="Arial"/>
        <family val="2"/>
      </rPr>
      <t>.- El oficial de cumplimiento elaborará trimestralmente un informe sobre la ejecución del plan operativo anual de AR/LC/FT/FPADM, indicando el porcentaje de cumplimiento de cada aspecto de su contenido. Este documento debe formar parte de los informes trimestrales y anuales que el oficial de cumplimiento presentará a la junta directiva. Adicionalmente, deberá actualizar este informe a la fecha de cualquier auditoría o inspección de la Superintendencia Nacional de Valores.</t>
    </r>
  </si>
  <si>
    <t xml:space="preserve">Conductas y/o acciones inapropiadas por parte de los colaboradores en detrimento de la empresa.
</t>
  </si>
  <si>
    <t>Anualmente, el Oficial de Cumplimiento de acuerdo con lo establecido en la Providencia 209 (Art 38), debe de validar el cumplimiento con la remisión de información y documentos específicos que demanda la SUNAVAL, siendo estos:
-Código de ética o código de conducta
La evidencia de este control es el código de ética y conducta aprobado.</t>
  </si>
  <si>
    <t>Ausencia de un manual de políticas, normas y procedimientos de AR LCFTFPADM y otros ilícitos preparado conforme a las especificaciones establecidas en el Art 42 de la legislación y aprobado y remitido a la SUNAVAL de acuerdo al Art. 41.</t>
  </si>
  <si>
    <t>Anualmente el Manual de Políticas, Normas y Procedimientos de Prevención y Control de LC/FT es revisado y actualizado conforme a las disposiciones de la legislación vigente y debidamente remitido al ente regulatorio (SUNAVAL)</t>
  </si>
  <si>
    <t xml:space="preserve">Mensualmente, el formato RAS es enviado a la Superintendencia Nacional de Valores (SUNAVAL) en caso de no haber tenido conocimiento de ninguna actividad sospechosa durante el lapso de un mes, dentro de los diez (10) días hábiles siguientes a la ﬁnalización de dicho término. </t>
  </si>
  <si>
    <t>PROBABILIDAD</t>
  </si>
  <si>
    <t>Valor Ponderación/
Impacto</t>
  </si>
  <si>
    <t>Valor 
Probabilidad de ocurrencia</t>
  </si>
  <si>
    <t>IMPACTO</t>
  </si>
  <si>
    <t>Posición</t>
  </si>
  <si>
    <t>Total</t>
  </si>
  <si>
    <t>RIESGO ACEPTABLE</t>
  </si>
  <si>
    <t>RIESGO TOLERABLE</t>
  </si>
  <si>
    <t>RIESGO ALTO</t>
  </si>
  <si>
    <t>I</t>
  </si>
  <si>
    <t>P</t>
  </si>
  <si>
    <t>LEYENDA</t>
  </si>
  <si>
    <t>MAPA DE CALOR</t>
  </si>
  <si>
    <t>Criterios de valoración de riesgos</t>
  </si>
  <si>
    <t>Ponderación</t>
  </si>
  <si>
    <t>Escala</t>
  </si>
  <si>
    <t>Muy Alto</t>
  </si>
  <si>
    <t>Probable</t>
  </si>
  <si>
    <t>Muy probable</t>
  </si>
  <si>
    <t>Moderado</t>
  </si>
  <si>
    <t xml:space="preserve">Ocasional </t>
  </si>
  <si>
    <t>Improbable</t>
  </si>
  <si>
    <t>Muy Bajo</t>
  </si>
  <si>
    <t>Ocasional</t>
  </si>
  <si>
    <t>Probabilidad de ocurrencia (M, P, M, O, I)</t>
  </si>
  <si>
    <t xml:space="preserve">Errores en la asignación de los factores de riesgos a los inversores, emisores, participantes o proveedores.
</t>
  </si>
  <si>
    <t>Registro inapropiado de documentos que comprueben la realización de operaciones y relaciones comerciales entre clientes y/ usuarios, ocasionando posibles incumplimientos, sanciones, pérdidas comerciales y daños reputacionales.</t>
  </si>
  <si>
    <t>Título</t>
  </si>
  <si>
    <t>Capítulo II. Sistema Integrado de Administración de Riesgos relacionados con delitos de Legitimación de Capitales, Financiamiento al Terrorismo, Financiamiento de la Proliferación de Armas de Destrucción Masiva (LC/FT/FPADM) y otros Ilícitos.</t>
  </si>
  <si>
    <t>Capítulo III. Estructura Funcional de riesgos relacionados con LC/FT/FPADM y Otros Ilícitos. 
Sección II</t>
  </si>
  <si>
    <t>Capítulo III. Estructura Funcional de riesgos relacionados con LC/FT/FPADM y Otros Ilícitos. 
Sección III</t>
  </si>
  <si>
    <t>Capítulo III. Estructura Funcional de riesgos relacionados con LC/FT/FPADM y Otros Ilícitos. 
Sección IV</t>
  </si>
  <si>
    <t>Capítulo III. Estructura Funcional de riesgos relacionados con LC/FT/FPADM y Otros Ilícitos. 
Sección V</t>
  </si>
  <si>
    <t>Capítulo IV. Instrumento de la administración de riesgos relacionados con LC/FT/FPADM y Otros Ilícitos. 
Sección I. POA</t>
  </si>
  <si>
    <t>Capítulo IV. Instrumento de la administración de riesgos relacionados con LC/FT/FPADM y Otros Ilícitos. 
Sección II. Programa anual de formación y capacitación</t>
  </si>
  <si>
    <t>Capítulo IV. Instrumento de la administración de riesgos relacionados con LC/FT/FPADM y Otros Ilícitos. 
Sección III. Código de ética, compromiso institucional y Gobierno corporativo</t>
  </si>
  <si>
    <t>Capítulo IV. Instrumento de la administración de riesgos relacionados con LC/FT/FPADM y Otros Ilícitos. 
Sección IV. Manual de políticas, normas y procedimientos</t>
  </si>
  <si>
    <t>Capítulo I. Conozca su inversor
Capítulo II. Conozca su Participante
Capítulo III. Conozca su Accionista</t>
  </si>
  <si>
    <t>Capítulo VII. Identificación de riesgos</t>
  </si>
  <si>
    <t>Capítulo VIII. De los sujetos obligados</t>
  </si>
  <si>
    <t>Art.  Prov. 209</t>
  </si>
  <si>
    <r>
      <t xml:space="preserve">
</t>
    </r>
    <r>
      <rPr>
        <b/>
        <sz val="14"/>
        <rFont val="Arial"/>
        <family val="2"/>
      </rPr>
      <t>Artículo 17</t>
    </r>
    <r>
      <rPr>
        <sz val="14"/>
        <rFont val="Arial"/>
        <family val="2"/>
      </rPr>
      <t>.- 
El presidente o quien haga sus veces en la estructura del sujeto obligado, debe cumplir las siguientes obligaciones: 
7. Informar a la SUNAVAL la postulación, renuncia y ausencia del Oficial de Cumplimiento dentro de un lapso de quince (15) días hábiles siguientes a la fecha de su nombramiento en acta de JD, así como la declaración jurada en la que manifieste el ejercicio de sus funciones en dedicación exclusiva...
9. Informar a la SUNAVAL sobre la designación de los integrantes de la UAR LC/FT/FPAMD y Otros Ilícitos dentro de un lapso de quince (15) días hábiles siguientes a la fecha de su nombramiento...</t>
    </r>
  </si>
  <si>
    <t xml:space="preserve">Ausencia de una adecuada y comprobada formación, preparación y reputación del Oficial de Cumplimiento acorde a los requisitos establecidos en el Art 19 de la Providencia 209.
</t>
  </si>
  <si>
    <r>
      <rPr>
        <b/>
        <sz val="14"/>
        <rFont val="Arial"/>
        <family val="2"/>
      </rPr>
      <t>Artículo 32</t>
    </r>
    <r>
      <rPr>
        <sz val="14"/>
        <rFont val="Arial"/>
        <family val="2"/>
      </rPr>
      <t xml:space="preserve">. - El sujeto obligado debe diseñar, financiar e implementar un programa anual de adiestramiento- Este programa estará dirigido a todo el persona! ejecutivo, directivo, empleados y representantes autorizados. El programa anual de adiestramiento de AR/LC/FT/FPADM, debe ser presentado dentro de los primeros quince (15) por el OC a la JD y enviado a la SUNAVAL. 
</t>
    </r>
    <r>
      <rPr>
        <b/>
        <sz val="14"/>
        <rFont val="Arial"/>
        <family val="2"/>
      </rPr>
      <t>Artículo 33</t>
    </r>
    <r>
      <rPr>
        <sz val="14"/>
        <rFont val="Arial"/>
        <family val="2"/>
      </rPr>
      <t xml:space="preserve">.- El programa anual de adiestramiento de ARLC/FT/FPADM, debe identificar los objetivos, el contenido, ¡as estrategias, los mecanismos y métodos de evaluación a ser aplicados.
</t>
    </r>
    <r>
      <rPr>
        <b/>
        <sz val="14"/>
        <rFont val="Arial"/>
        <family val="2"/>
      </rPr>
      <t>Artículo 34</t>
    </r>
    <r>
      <rPr>
        <sz val="14"/>
        <rFont val="Arial"/>
        <family val="2"/>
      </rPr>
      <t xml:space="preserve">.- Cada inducción, adiestramiento y capacitación sobre la materia de AR/LC/Fr/FPADM y otros ilícitos, debe constar en un documento elaborado por el sujeto obligado, donde se especifique su denominación y contenido, suscrito por el oficial de cumplimiento y los participantes, el cual debe reposar en sus expedientes y mantenerse a la disposición de la Superintendencia Nacional de Valores.
</t>
    </r>
    <r>
      <rPr>
        <b/>
        <sz val="14"/>
        <rFont val="Arial"/>
        <family val="2"/>
      </rPr>
      <t>Artículo 36</t>
    </r>
    <r>
      <rPr>
        <sz val="14"/>
        <rFont val="Arial"/>
        <family val="2"/>
      </rPr>
      <t xml:space="preserve">: Cada inducción, formación o capacitación sobre la AR LC/FT/FPADM debe constar en un documento elaborado por el sujeto obligado, donde se especifique su denominación y contenido, suscrito por el oficial de cumplimiento y los participantes, el cual debe reposar en sus expedientes y mantenerse a la disposición de la SUNAVAL.
</t>
    </r>
  </si>
  <si>
    <r>
      <rPr>
        <b/>
        <sz val="14"/>
        <color theme="1"/>
        <rFont val="Arial"/>
        <family val="2"/>
      </rPr>
      <t>Artículo 39</t>
    </r>
    <r>
      <rPr>
        <sz val="14"/>
        <color theme="1"/>
        <rFont val="Arial"/>
        <family val="2"/>
      </rPr>
      <t>.- 
La junta directiva del sujeto obligado, debe aprobar y formar de forma individual y por escrito el compromiso institucional para la AR LC/FT/FPADM y otros ilícitos. Del mismo modo, debe mantenerse actualizado y archivado en sus respectivos expedientes, a disposición de la Superintendencia Nacional de Valores.</t>
    </r>
  </si>
  <si>
    <t>Los miembros de la junta Directiva deben dejar evidencia firmada de manera individual de su compromiso para con la AR LCFTFPADM y otros ilícitos. Esta carta de confirmación se debe archivar en los expedientes individuales de los miembros de la JD.</t>
  </si>
  <si>
    <r>
      <rPr>
        <b/>
        <sz val="14"/>
        <rFont val="Arial"/>
        <family val="2"/>
      </rPr>
      <t>Artículo 69</t>
    </r>
    <r>
      <rPr>
        <sz val="14"/>
        <rFont val="Arial"/>
        <family val="2"/>
      </rPr>
      <t xml:space="preserve">: Los sujetos obligados deben prestar especial atención a cualquier riesgo de los delitos de LC/FT/FPADM y Otros Ilícitos, que surjan de la utilización de las nuevas tecnologías, que dificulten la verificación de la identidad del inversor o participante y adoptar las medidas para impedir su utilización con fines ilícitos, por ello debe instaurar políticas y procedimientos para hacer frente a cualquier riesgo especifico asociado con las relaciones comerciales, de negocios u operaciones que no impliquen la presencia física de las partes.
Al aplicar las medidas basadas en la identificación de los riesgos relacionados con los delitos de LC/FT/FPDM y Otros Ilícitos, el sujeto obligado tendrá en cuenta las consideraciones establecidas en los manuales, instructivos, formatos y disposiciones normativas dictadas al efecto. </t>
    </r>
  </si>
  <si>
    <r>
      <rPr>
        <b/>
        <sz val="14"/>
        <color theme="1"/>
        <rFont val="Arial"/>
        <family val="2"/>
      </rPr>
      <t>Artículo 85</t>
    </r>
    <r>
      <rPr>
        <sz val="14"/>
        <color theme="1"/>
        <rFont val="Arial"/>
        <family val="2"/>
      </rPr>
      <t xml:space="preserve">.- 
Reporte de actividades sospechosas (RAS)
Los sujetos obligados deben reportar a través de formulario correspondiente, a la Unidad Nacional de Inteligencia Financiera (UNIF), la información de aquellas actividades que consideren sospechosas, vinculadas o no con los delitos de LC/FT/FPADM y Otros Ilícitos; en un plazo que no debe exceder de treinta (30) días consecutivos siguientes a la fecha de realización de la operación. 
Si el sujeto obligado no ha tenido conocimiento de ninguna actividad sospechosa durante el lapso de un mes, deberá informar a la Superintendencia Nacional de Valores, dentro de los diez (10) días hábiles siguientes a la ﬁnalización de dicho término. </t>
    </r>
  </si>
  <si>
    <r>
      <rPr>
        <b/>
        <sz val="14"/>
        <color theme="1"/>
        <rFont val="Arial"/>
        <family val="2"/>
      </rPr>
      <t>Artículo 85</t>
    </r>
    <r>
      <rPr>
        <sz val="14"/>
        <color theme="1"/>
        <rFont val="Arial"/>
        <family val="2"/>
      </rPr>
      <t xml:space="preserve">.- 
Reporte de actividades sospechosas (RAS)
Los sujetos obligados deben reportar a través de formulario correspondiente, a la Unidad Nacional de Inteligencia Financiera (UnIF), la información de aquellas actividades que consideren sospechosas, vinculadas o no con los delitos de LC/FT/FPADM y Otros Ilícitos; en un plazo que no debe exceder de treinta (30) días consecutivos siguientes a la fecha de realización de la operación. 
Si el sujeto obligado no ha tenido conocimiento de ninguna actividad sospechosa durante el lapso de un mes, deberá informar a la Superintendencia Nacional de Valores, dentro de los diez (10) días hábiles siguientes a la ﬁnalización de dicho término. </t>
    </r>
  </si>
  <si>
    <t xml:space="preserve">Inadecuada comunicación a la Unidad Nacional de Inteligencia Financiera de todas las actividades o situaciones sospechosas vinculadas o no con los delitos de LC/FT/FPADM y Otros Ilícitos. Dentro de los plazos establecidos por la legislación.
</t>
  </si>
  <si>
    <t xml:space="preserve">Anualmente (los primeros 15 días hábiles del año), se presenta ante el ente regulador el POA con el detalle de la información solicitada para su aprobación y ejecución. </t>
  </si>
  <si>
    <r>
      <rPr>
        <b/>
        <sz val="14"/>
        <rFont val="Arial"/>
        <family val="2"/>
      </rPr>
      <t>Artículo 49</t>
    </r>
    <r>
      <rPr>
        <sz val="14"/>
        <rFont val="Arial"/>
        <family val="2"/>
      </rPr>
      <t xml:space="preserve">: Los documentos obtenidos del inversor y sus actividades, conformaran un expediente, el cual permanecerá en la oficina o sucursal del sujeto obligado, donde fue abierta la cuenta de corretaje bursátil, debe contener lo establecido en los manuales, instructivas, formatos y lo dispuesto en el presente Capítulo, incluyendo:
1.Documentos consignados por el inversor, según lo establecido en los requisitos para el registro
2.Ficha de identificación del inversor
3.Contrato de apertura de cuenta de corretaje bursátil o contrato de servicios
4. Cualquier otro documento relacionado con el inversor y sus actividades. </t>
    </r>
  </si>
  <si>
    <t>Cada vez que se realiza una emisión de papeles, todos los nuevos inversionistas son filtrados a través del Agente de Colocación, "RATIO Casa de Bolsa", quien es responsable de realizar la validación y registro de toda la información requerida por la legislación, Para ello genera y mantienen actualizado expedientes individuales donde la información puede ser verificada, según los requerimientos establecidos en el Art. 49 de la legislación vigente
(*)</t>
  </si>
  <si>
    <t>(*) A la fecha, se cuenta con aproximadamente *300 inversores de los cuales no se ha actualizado la información ni se cuenta con contactos para hacer la solicitud correspondiente (estos inversores corresponden a emisiones de más de 30 años, en cuyo momento no se utilizaban los servicios de un agente de colocación. Se deben realizar esfuerzos para obtener y actualizar dichos expedientes.</t>
  </si>
  <si>
    <t>(**) No se observó ningún mecanismo implementado para identificar situaciones inusuales, a menos que el empleado como tal lo comente.</t>
  </si>
  <si>
    <t>Cada vez que sea necesario, los responsables de cumplimiento completan el formato de Reporte de Situaciones inusuales en caso de identificar cambios notables en colaboradores dentro de su entorno laboral. Este reporte es presentado al OC y T&amp;O para que realice las investigaciones y seguimiento necesario.
(**)</t>
  </si>
  <si>
    <t>Cada vez que ingresa un nuevo colaborador a la organización, el Departamento de RRHH realiza un "Inducción Corporativa" donde se imparte información acerca de la Providencia y la normativa vigente al respecto.
Así mismo como parte del plan de entrenamiento anual, se llevan a cabo charlas, cápsulas informativas y talleres relacionados. El Departamento de RRHH debe confirmar la asistencia a todas las inducciones y capacitaciones.</t>
  </si>
  <si>
    <t>Anualmente, el Oficial de Cumplimiento de acuerdo con lo establecido en la Providencia 209 (Art 41), debe asegurar a través de una muestra, que en el expediente de los empleados se encuentre debidamente resguardado y firmado el formato de declaración de conocimiento del contenido del manual de políticas, normas y procedimientos de AR LC/FT/PADN y otros ilícitos:
La evidencia de este control es el formulario FSIARLC/FT 001 resguardado y firmado en el expediente del empleado</t>
  </si>
  <si>
    <t>Probabilidad de ocurrencia</t>
  </si>
  <si>
    <r>
      <rPr>
        <b/>
        <sz val="14"/>
        <rFont val="Arial"/>
        <family val="2"/>
      </rPr>
      <t xml:space="preserve">Artículo 18
</t>
    </r>
    <r>
      <rPr>
        <sz val="14"/>
        <rFont val="Arial"/>
        <family val="2"/>
      </rPr>
      <t xml:space="preserve">OC: Empleado de alto nivel jerárquico, de comprobada honorabilidad, con poder de decisión, que dependa y reporte directamente a la junta directiva dedicado de manera exclusiva a las funciones de AR/LC/FT/FPADM. 
</t>
    </r>
    <r>
      <rPr>
        <b/>
        <sz val="14"/>
        <rFont val="Arial"/>
        <family val="2"/>
      </rPr>
      <t>Artículo 19</t>
    </r>
    <r>
      <rPr>
        <sz val="14"/>
        <rFont val="Arial"/>
        <family val="2"/>
      </rPr>
      <t>.
Requisitos del OC:
1. Poseer tímalo de educación superior o técnico afín con el sector del mercado de valores; 
3. Acreditar mediante credenciales académicas de formación como experto en AR LC/FT/FPADM y Otros Ilícitos, en el sector de mercado de valores. 
4. Estar inscrito en el registro de oficiales de cumplimiento, que lleva el órgano rector en la materia. 
5. Presentar la declaración jurada en la que manifesté que ejercerá sus funciones a dedicación exclusiva.</t>
    </r>
  </si>
  <si>
    <r>
      <rPr>
        <b/>
        <sz val="14"/>
        <rFont val="Arial"/>
        <family val="2"/>
      </rPr>
      <t>Artículo 41</t>
    </r>
    <r>
      <rPr>
        <sz val="14"/>
        <rFont val="Arial"/>
        <family val="2"/>
      </rPr>
      <t xml:space="preserve">.- 
Los mecanismos de control adoptados por el sujeto obligado, deben consolidarse en un manual de políticas, normas y procedimientos para la AR/LC/FT/FPADM. El manual de políticas, normas y procedimientos de AR/LC/FT/FPADM y otros ilícitos, debe ser aprobado por la junta directiva y ser remitido en formato digital a la Superintendencia Nacional de Valores, toda vez que sea elaborado por primera vez o tenga algunas actualizaciones. </t>
    </r>
    <r>
      <rPr>
        <sz val="14"/>
        <color theme="1"/>
        <rFont val="Arial"/>
        <family val="2"/>
      </rPr>
      <t xml:space="preserve">En el expediente de cada empleado debe quedar constancia que ha tenido conocimiento del contenido del manual.
</t>
    </r>
    <r>
      <rPr>
        <b/>
        <sz val="14"/>
        <color theme="1"/>
        <rFont val="Arial"/>
        <family val="2"/>
      </rPr>
      <t>Artículo 42</t>
    </r>
    <r>
      <rPr>
        <sz val="14"/>
        <color theme="1"/>
        <rFont val="Arial"/>
        <family val="2"/>
      </rPr>
      <t xml:space="preserve">.- 
El manual de AR LC/FT/FPADM y otros ilícitos, debe contener los siguientes aspectos...
</t>
    </r>
    <r>
      <rPr>
        <b/>
        <sz val="14"/>
        <color theme="1"/>
        <rFont val="Arial"/>
        <family val="2"/>
      </rPr>
      <t>Artículo 43</t>
    </r>
    <r>
      <rPr>
        <sz val="14"/>
        <color theme="1"/>
        <rFont val="Arial"/>
        <family val="2"/>
      </rPr>
      <t xml:space="preserve">.- 
El sujeto obligado debe mantener actualizado el manual de AR LC/FT/FPADM y otros ilícitos, de acuerdo a las necesidades y a ¡as nuevas disposiciones que se emitan, siendo aprobado por la junta directiva, debiendo estar disponible para que dichas actualizaciones sean revisadas por la SUNAVAL. </t>
    </r>
  </si>
  <si>
    <r>
      <t xml:space="preserve">
</t>
    </r>
    <r>
      <rPr>
        <b/>
        <sz val="14"/>
        <rFont val="Arial"/>
        <family val="2"/>
      </rPr>
      <t>Artículo 41</t>
    </r>
    <r>
      <rPr>
        <sz val="14"/>
        <rFont val="Arial"/>
        <family val="2"/>
      </rPr>
      <t xml:space="preserve">.- Los mecanismos de control adoptados por el sujeto obligado, deben consolidarse en un manual de políticas, normas y procedimientos para la AR/LC/FT/FPADM. El manual de políticas, normas y procedimientos de AR/LC/FT/FPADM y otros ilícitos, debe ser aprobado por la junta directiva y ser remitido en formato digital a la Superintendencia Nacional de Valores, toda vez que sea elaborado por primera vez o tenga algunas actualizaciones. </t>
    </r>
    <r>
      <rPr>
        <b/>
        <sz val="14"/>
        <rFont val="Arial"/>
        <family val="2"/>
      </rPr>
      <t>En el expediente de cada empleado debe quedar constancia que ha tenido conocimiento del contenido del manual.</t>
    </r>
  </si>
  <si>
    <t xml:space="preserve">Preparación y envío de comunicaciones a la SUNAVAL dentro de los plazos establecidos, realizando las remisiones de forma oportuna conforme a la norma. </t>
  </si>
  <si>
    <t>El oficial de cumplimiento designado por la JD según lo establecido en la providencia 209, art 18. posee las credenciales que avalan su debida preparación para el correcto desempeño de sus funciones de manera exclusiva y está debidamente registrado ante el ente regulador.
Así mismo ha sido firmada la declaración jurada donde manifiesta el compromiso para llevar a cabo sus funciones con responsabilidad y honorabilidad.</t>
  </si>
  <si>
    <t xml:space="preserve">Según lo establecido en la providencia 209, se ha conformado la UAR, con Un (1) Gerente y Un (1) Analista  considerando sus funciones dentro de la estructura </t>
  </si>
  <si>
    <t>Área o Dpto responsable</t>
  </si>
  <si>
    <t>Características del control</t>
  </si>
  <si>
    <t>Control clave (s/n)</t>
  </si>
  <si>
    <t>Descripción del control</t>
  </si>
  <si>
    <t>Responsabilidad del control</t>
  </si>
  <si>
    <t>Vigencia del control (esta columan es temporal)</t>
  </si>
  <si>
    <t>Sugerido</t>
  </si>
  <si>
    <t>Vigente</t>
  </si>
  <si>
    <t>Vigente con OdM</t>
  </si>
  <si>
    <t>UAR</t>
  </si>
  <si>
    <t>Preventivo</t>
  </si>
  <si>
    <t>Cada vez que ocurra</t>
  </si>
  <si>
    <t>Si</t>
  </si>
  <si>
    <t>Ejemplo de como llenar la información del control</t>
  </si>
  <si>
    <t>Providencia 209 - Administración de Riesgos de LC/FT/FPADM y otros ilicitos</t>
  </si>
  <si>
    <t xml:space="preserve">Propuesta de Redacción de Control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</si>
</sst>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0"/>
      <name val="Arial"/>
      <family val="2"/>
    </font>
    <font>
      <sz val="12"/>
      <color theme="1"/>
      <name val="Arial"/>
      <family val="2"/>
    </font>
    <font>
      <sz val="12"/>
      <name val="Arial"/>
      <family val="2"/>
    </font>
    <font>
      <b/>
      <sz val="12"/>
      <color theme="1"/>
      <name val="Arial"/>
      <family val="2"/>
    </font>
    <font>
      <b/>
      <sz val="12"/>
      <color theme="0"/>
      <name val="Arial"/>
      <family val="2"/>
    </font>
    <font>
      <sz val="12"/>
      <color theme="0"/>
      <name val="Arial"/>
      <family val="2"/>
    </font>
    <font>
      <b/>
      <sz val="12"/>
      <name val="Arial"/>
      <family val="2"/>
    </font>
    <font>
      <sz val="20"/>
      <color theme="1"/>
      <name val="Marlett"/>
      <charset val="2"/>
    </font>
    <font>
      <b/>
      <sz val="12"/>
      <color rgb="FF7030A0"/>
      <name val="Arial"/>
      <family val="2"/>
    </font>
    <font>
      <b/>
      <sz val="16"/>
      <color rgb="FFFF0000"/>
      <name val="Arial"/>
      <family val="2"/>
    </font>
    <font>
      <sz val="11"/>
      <color rgb="FF000000"/>
      <name val="EYInterstate Light"/>
    </font>
    <font>
      <sz val="8"/>
      <name val="Calibri"/>
      <family val="2"/>
      <scheme val="minor"/>
    </font>
    <font>
      <b/>
      <sz val="16"/>
      <color theme="0"/>
      <name val="Arial"/>
      <family val="2"/>
    </font>
    <font>
      <sz val="14"/>
      <name val="Arial"/>
      <family val="2"/>
    </font>
    <font>
      <b/>
      <sz val="14"/>
      <name val="Arial"/>
      <family val="2"/>
    </font>
    <font>
      <sz val="14"/>
      <color theme="1"/>
      <name val="Arial"/>
      <family val="2"/>
    </font>
    <font>
      <sz val="14"/>
      <color theme="1"/>
      <name val="Marlett"/>
      <charset val="2"/>
    </font>
    <font>
      <sz val="14"/>
      <color rgb="FF000000"/>
      <name val="EYInterstate Light"/>
    </font>
    <font>
      <b/>
      <sz val="14"/>
      <color rgb="FFFF0000"/>
      <name val="Arial"/>
      <family val="2"/>
    </font>
    <font>
      <b/>
      <sz val="14"/>
      <color theme="1"/>
      <name val="Arial"/>
      <family val="2"/>
    </font>
    <font>
      <b/>
      <sz val="14"/>
      <color rgb="FFC00000"/>
      <name val="Arial"/>
      <family val="2"/>
    </font>
    <font>
      <b/>
      <sz val="14"/>
      <color theme="4" tint="-0.249977111117893"/>
      <name val="Arial"/>
      <family val="2"/>
    </font>
    <font>
      <b/>
      <sz val="11"/>
      <color theme="1"/>
      <name val="Calibri"/>
      <family val="2"/>
      <scheme val="minor"/>
    </font>
    <font>
      <b/>
      <sz val="16"/>
      <color theme="1"/>
      <name val="Calibri Light"/>
      <family val="2"/>
      <scheme val="major"/>
    </font>
    <font>
      <b/>
      <sz val="16"/>
      <name val="Arial"/>
      <family val="2"/>
    </font>
    <font>
      <b/>
      <sz val="16"/>
      <color theme="1"/>
      <name val="Calibri"/>
      <family val="2"/>
      <scheme val="minor"/>
    </font>
    <font>
      <b/>
      <sz val="11"/>
      <name val="Calibri"/>
      <family val="2"/>
      <scheme val="minor"/>
    </font>
    <font>
      <b/>
      <sz val="8"/>
      <name val="Arial"/>
      <family val="2"/>
    </font>
    <font>
      <b/>
      <sz val="8"/>
      <color theme="0"/>
      <name val="Arial"/>
      <family val="2"/>
    </font>
    <font>
      <b/>
      <sz val="8"/>
      <color rgb="FFC00000"/>
      <name val="Arial"/>
      <family val="2"/>
    </font>
    <font>
      <b/>
      <sz val="8"/>
      <color theme="1"/>
      <name val="Calibri Light"/>
      <family val="2"/>
      <scheme val="major"/>
    </font>
    <font>
      <sz val="8"/>
      <color theme="1"/>
      <name val="Arial"/>
      <family val="2"/>
    </font>
    <font>
      <b/>
      <sz val="8"/>
      <color theme="1"/>
      <name val="Arial"/>
      <family val="2"/>
    </font>
    <font>
      <b/>
      <sz val="16"/>
      <color theme="1"/>
      <name val="Arial Black"/>
      <family val="2"/>
    </font>
    <font>
      <b/>
      <sz val="18"/>
      <color theme="0"/>
      <name val="Calibri"/>
      <family val="2"/>
      <scheme val="minor"/>
    </font>
    <font>
      <b/>
      <sz val="18"/>
      <name val="Calibri"/>
      <family val="2"/>
      <scheme val="minor"/>
    </font>
    <font>
      <b/>
      <sz val="18"/>
      <color theme="0"/>
      <name val="Arial"/>
      <family val="2"/>
    </font>
    <font>
      <b/>
      <sz val="12"/>
      <color rgb="FFC00000"/>
      <name val="Arial"/>
      <family val="2"/>
    </font>
    <font>
      <b/>
      <sz val="16"/>
      <color rgb="FFC00000"/>
      <name val="Arial"/>
      <family val="2"/>
    </font>
    <font>
      <b/>
      <sz val="14"/>
      <color theme="0"/>
      <name val="Arial"/>
      <family val="2"/>
    </font>
    <font>
      <b/>
      <sz val="28"/>
      <color theme="1"/>
      <name val="Arial"/>
      <family val="2"/>
    </font>
    <font>
      <b/>
      <sz val="26"/>
      <color theme="1"/>
      <name val="Arial"/>
      <family val="2"/>
    </font>
  </fonts>
  <fills count="27">
    <fill>
      <patternFill patternType="none"/>
    </fill>
    <fill>
      <patternFill patternType="gray125"/>
    </fill>
    <fill>
      <patternFill patternType="solid">
        <fgColor rgb="FF005C8A"/>
        <bgColor indexed="64"/>
      </patternFill>
    </fill>
    <fill>
      <patternFill patternType="solid">
        <fgColor rgb="FF7030A0"/>
        <bgColor indexed="64"/>
      </patternFill>
    </fill>
    <fill>
      <patternFill patternType="solid">
        <fgColor theme="0"/>
        <bgColor indexed="64"/>
      </patternFill>
    </fill>
    <fill>
      <patternFill patternType="solid">
        <fgColor rgb="FF00B050"/>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76B531"/>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rgb="FFFFE600"/>
        <bgColor indexed="64"/>
      </patternFill>
    </fill>
    <fill>
      <patternFill patternType="solid">
        <fgColor theme="5" tint="0.79998168889431442"/>
        <bgColor indexed="64"/>
      </patternFill>
    </fill>
    <fill>
      <patternFill patternType="gray0625"/>
    </fill>
    <fill>
      <patternFill patternType="solid">
        <fgColor rgb="FFFFFF00"/>
        <bgColor indexed="64"/>
      </patternFill>
    </fill>
    <fill>
      <patternFill patternType="solid">
        <fgColor theme="1"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1"/>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indexed="64"/>
      </patternFill>
    </fill>
    <fill>
      <patternFill patternType="solid">
        <fgColor rgb="FFFFC000"/>
        <bgColor indexed="64"/>
      </patternFill>
    </fill>
    <fill>
      <patternFill patternType="solid">
        <fgColor rgb="FFC0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right style="thin">
        <color indexed="64"/>
      </right>
      <top/>
      <bottom style="thin">
        <color indexed="64"/>
      </bottom>
      <diagonal/>
    </border>
  </borders>
  <cellStyleXfs count="2">
    <xf numFmtId="0" fontId="0" fillId="0" borderId="0"/>
    <xf numFmtId="0" fontId="1" fillId="0" borderId="0"/>
  </cellStyleXfs>
  <cellXfs count="151">
    <xf numFmtId="0" fontId="0" fillId="0" borderId="0" xfId="0"/>
    <xf numFmtId="0" fontId="2" fillId="0" borderId="1" xfId="0" applyFont="1" applyBorder="1" applyAlignment="1" applyProtection="1">
      <alignment horizontal="left" vertical="top" wrapText="1" indent="1"/>
      <protection locked="0"/>
    </xf>
    <xf numFmtId="0" fontId="2" fillId="4" borderId="1" xfId="0" applyFont="1" applyFill="1" applyBorder="1" applyAlignment="1" applyProtection="1">
      <alignment horizontal="left" vertical="top" wrapText="1" indent="1"/>
      <protection locked="0"/>
    </xf>
    <xf numFmtId="0" fontId="4" fillId="0" borderId="7" xfId="0" applyFont="1" applyBorder="1" applyAlignment="1">
      <alignment horizontal="left" vertical="top" wrapText="1" indent="1"/>
    </xf>
    <xf numFmtId="0" fontId="2" fillId="0" borderId="0" xfId="0" applyFont="1" applyAlignment="1" applyProtection="1">
      <alignment vertical="center"/>
      <protection locked="0"/>
    </xf>
    <xf numFmtId="0" fontId="5" fillId="6" borderId="6" xfId="0" applyFont="1" applyFill="1" applyBorder="1" applyAlignment="1">
      <alignment horizontal="center" vertical="center" wrapText="1"/>
    </xf>
    <xf numFmtId="0" fontId="2" fillId="0" borderId="0" xfId="0" applyFont="1"/>
    <xf numFmtId="0" fontId="6" fillId="2" borderId="1" xfId="0" applyFont="1" applyFill="1" applyBorder="1" applyAlignment="1" applyProtection="1">
      <alignment horizontal="center" vertical="center" wrapText="1"/>
      <protection locked="0"/>
    </xf>
    <xf numFmtId="0" fontId="6" fillId="3" borderId="1" xfId="0" applyFont="1" applyFill="1" applyBorder="1" applyAlignment="1" applyProtection="1">
      <alignment horizontal="center" vertical="center" wrapText="1"/>
      <protection locked="0"/>
    </xf>
    <xf numFmtId="0" fontId="6" fillId="3" borderId="1" xfId="1" applyFont="1" applyFill="1" applyBorder="1" applyAlignment="1">
      <alignment horizontal="center" vertical="center" wrapText="1"/>
    </xf>
    <xf numFmtId="0" fontId="6" fillId="5" borderId="1" xfId="1"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3" fillId="0" borderId="1" xfId="1" applyFont="1" applyBorder="1" applyAlignment="1">
      <alignment horizontal="left" vertical="top" wrapText="1" indent="1"/>
    </xf>
    <xf numFmtId="0" fontId="2" fillId="0" borderId="1" xfId="0" applyFont="1" applyBorder="1" applyAlignment="1">
      <alignment horizontal="left" vertical="top" wrapText="1" indent="1"/>
    </xf>
    <xf numFmtId="0" fontId="2" fillId="0" borderId="0" xfId="0" applyFont="1" applyAlignment="1">
      <alignment horizontal="left" vertical="top" wrapText="1" indent="1"/>
    </xf>
    <xf numFmtId="0" fontId="3" fillId="13"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left" vertical="center" wrapText="1" indent="1"/>
      <protection locked="0"/>
    </xf>
    <xf numFmtId="0" fontId="2" fillId="0" borderId="1" xfId="0" applyFont="1" applyBorder="1" applyAlignment="1" applyProtection="1">
      <alignment horizontal="left" vertical="center" indent="1"/>
      <protection locked="0"/>
    </xf>
    <xf numFmtId="0" fontId="8" fillId="0" borderId="1" xfId="0" applyFont="1" applyBorder="1" applyAlignment="1" applyProtection="1">
      <alignment horizontal="center" vertical="center" wrapText="1"/>
      <protection locked="0"/>
    </xf>
    <xf numFmtId="0" fontId="9" fillId="0" borderId="0" xfId="0" applyFont="1"/>
    <xf numFmtId="0" fontId="9" fillId="0" borderId="0" xfId="0" applyFont="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2" fillId="15" borderId="0" xfId="0" applyFont="1" applyFill="1"/>
    <xf numFmtId="0" fontId="10" fillId="15" borderId="0" xfId="0" applyFont="1" applyFill="1"/>
    <xf numFmtId="0" fontId="2" fillId="4"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14" borderId="1" xfId="0" applyFont="1" applyFill="1" applyBorder="1" applyAlignment="1" applyProtection="1">
      <alignment horizontal="center" vertical="center" wrapText="1"/>
      <protection locked="0"/>
    </xf>
    <xf numFmtId="0" fontId="0" fillId="0" borderId="0" xfId="0" applyAlignment="1">
      <alignment horizontal="left" vertical="center" indent="4"/>
    </xf>
    <xf numFmtId="0" fontId="11" fillId="0" borderId="0" xfId="0" applyFont="1" applyAlignment="1">
      <alignment vertical="center" wrapText="1"/>
    </xf>
    <xf numFmtId="0" fontId="11" fillId="0" borderId="1" xfId="0" applyFont="1" applyBorder="1" applyAlignment="1">
      <alignment vertical="center" wrapText="1"/>
    </xf>
    <xf numFmtId="0" fontId="2" fillId="16" borderId="1" xfId="0" applyFont="1" applyFill="1" applyBorder="1" applyAlignment="1" applyProtection="1">
      <alignment horizontal="left" vertical="center" wrapText="1" indent="1"/>
      <protection locked="0"/>
    </xf>
    <xf numFmtId="0" fontId="11" fillId="0" borderId="0" xfId="0" applyFont="1" applyAlignment="1">
      <alignment horizontal="left" vertical="center" wrapText="1"/>
    </xf>
    <xf numFmtId="0" fontId="13" fillId="17" borderId="1" xfId="0" applyFont="1" applyFill="1" applyBorder="1" applyAlignment="1" applyProtection="1">
      <alignment horizontal="center" vertical="center" wrapText="1"/>
      <protection locked="0"/>
    </xf>
    <xf numFmtId="0" fontId="15" fillId="13" borderId="1" xfId="0" applyFont="1" applyFill="1" applyBorder="1" applyAlignment="1" applyProtection="1">
      <alignment horizontal="center" vertical="center" wrapText="1"/>
      <protection locked="0"/>
    </xf>
    <xf numFmtId="0" fontId="15" fillId="18"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wrapText="1" indent="1"/>
      <protection locked="0"/>
    </xf>
    <xf numFmtId="0" fontId="17" fillId="0" borderId="1" xfId="0" applyFont="1" applyBorder="1" applyAlignment="1" applyProtection="1">
      <alignment horizontal="center" vertical="center" wrapText="1"/>
      <protection locked="0"/>
    </xf>
    <xf numFmtId="0" fontId="16" fillId="4"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6" fillId="14" borderId="1" xfId="0" applyFont="1" applyFill="1" applyBorder="1" applyAlignment="1" applyProtection="1">
      <alignment horizontal="center" vertical="center" wrapText="1"/>
      <protection locked="0"/>
    </xf>
    <xf numFmtId="0" fontId="14" fillId="0" borderId="1" xfId="1" applyFont="1" applyBorder="1" applyAlignment="1">
      <alignment horizontal="left" vertical="top" wrapText="1" indent="1"/>
    </xf>
    <xf numFmtId="0" fontId="16" fillId="0" borderId="1" xfId="0" applyFont="1" applyBorder="1" applyAlignment="1" applyProtection="1">
      <alignment horizontal="left" vertical="top" wrapText="1" indent="1"/>
      <protection locked="0"/>
    </xf>
    <xf numFmtId="0" fontId="16" fillId="0" borderId="1" xfId="0" applyFont="1" applyBorder="1" applyAlignment="1" applyProtection="1">
      <alignment horizontal="left" vertical="center" indent="1"/>
      <protection locked="0"/>
    </xf>
    <xf numFmtId="0" fontId="16" fillId="4" borderId="1" xfId="0" applyFont="1" applyFill="1" applyBorder="1" applyAlignment="1" applyProtection="1">
      <alignment horizontal="left" vertical="top" wrapText="1" indent="1"/>
      <protection locked="0"/>
    </xf>
    <xf numFmtId="0" fontId="18" fillId="0" borderId="0" xfId="0" applyFont="1" applyAlignment="1">
      <alignment vertical="center" wrapText="1"/>
    </xf>
    <xf numFmtId="0" fontId="16" fillId="16" borderId="1" xfId="0" applyFont="1" applyFill="1" applyBorder="1" applyAlignment="1" applyProtection="1">
      <alignment horizontal="left" vertical="center" wrapText="1" indent="1"/>
      <protection locked="0"/>
    </xf>
    <xf numFmtId="0" fontId="18" fillId="0" borderId="1" xfId="0" applyFont="1" applyBorder="1" applyAlignment="1">
      <alignment vertical="center" wrapText="1"/>
    </xf>
    <xf numFmtId="0" fontId="18" fillId="0" borderId="0" xfId="0" applyFont="1" applyAlignment="1">
      <alignment horizontal="left" vertical="center" wrapText="1"/>
    </xf>
    <xf numFmtId="0" fontId="16" fillId="19" borderId="1" xfId="0" applyFont="1" applyFill="1" applyBorder="1" applyAlignment="1" applyProtection="1">
      <alignment horizontal="left" vertical="center" wrapText="1" indent="1"/>
      <protection locked="0"/>
    </xf>
    <xf numFmtId="0" fontId="14" fillId="0" borderId="1" xfId="0" applyFont="1" applyBorder="1" applyAlignment="1" applyProtection="1">
      <alignment horizontal="left" vertical="top" wrapText="1" indent="1"/>
      <protection locked="0"/>
    </xf>
    <xf numFmtId="0" fontId="16" fillId="20" borderId="1" xfId="0" applyFont="1" applyFill="1" applyBorder="1" applyAlignment="1" applyProtection="1">
      <alignment horizontal="left" vertical="center" wrapText="1" indent="1"/>
      <protection locked="0"/>
    </xf>
    <xf numFmtId="0" fontId="2" fillId="0" borderId="0" xfId="0" applyFont="1" applyAlignment="1">
      <alignment horizontal="center" vertical="center"/>
    </xf>
    <xf numFmtId="0" fontId="16" fillId="0" borderId="1" xfId="0" applyFont="1" applyBorder="1" applyAlignment="1" applyProtection="1">
      <alignment horizontal="left" vertical="center" wrapText="1"/>
      <protection locked="0"/>
    </xf>
    <xf numFmtId="0" fontId="14" fillId="0" borderId="1" xfId="0" applyFont="1" applyBorder="1" applyAlignment="1" applyProtection="1">
      <alignment horizontal="left" vertical="center" wrapText="1"/>
      <protection locked="0"/>
    </xf>
    <xf numFmtId="0" fontId="2" fillId="0" borderId="0" xfId="0" applyFont="1" applyAlignment="1">
      <alignment horizontal="left" vertical="center" wrapText="1"/>
    </xf>
    <xf numFmtId="0" fontId="2" fillId="0" borderId="0" xfId="0" applyFont="1" applyAlignment="1">
      <alignment vertical="center"/>
    </xf>
    <xf numFmtId="0" fontId="21"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16" fillId="23" borderId="1" xfId="0" applyFont="1" applyFill="1" applyBorder="1" applyAlignment="1" applyProtection="1">
      <alignment horizontal="left" vertical="center" wrapText="1"/>
      <protection locked="0"/>
    </xf>
    <xf numFmtId="0" fontId="16" fillId="4" borderId="1" xfId="0" applyFont="1" applyFill="1" applyBorder="1" applyAlignment="1">
      <alignment horizontal="left" vertical="center" wrapText="1"/>
    </xf>
    <xf numFmtId="0" fontId="16" fillId="24" borderId="1" xfId="0" applyFont="1" applyFill="1" applyBorder="1" applyAlignment="1" applyProtection="1">
      <alignment horizontal="left" vertical="center" wrapText="1"/>
      <protection locked="0"/>
    </xf>
    <xf numFmtId="0" fontId="22" fillId="0" borderId="1" xfId="0" applyFont="1" applyBorder="1" applyAlignment="1" applyProtection="1">
      <alignment horizontal="center" vertical="center" wrapText="1"/>
      <protection locked="0"/>
    </xf>
    <xf numFmtId="0" fontId="16" fillId="25" borderId="1" xfId="0" applyFont="1" applyFill="1" applyBorder="1" applyAlignment="1" applyProtection="1">
      <alignment horizontal="left" vertical="center" wrapText="1"/>
      <protection locked="0"/>
    </xf>
    <xf numFmtId="0" fontId="16" fillId="0" borderId="8" xfId="0" applyFont="1" applyBorder="1" applyAlignment="1" applyProtection="1">
      <alignment vertical="center" wrapText="1"/>
      <protection locked="0"/>
    </xf>
    <xf numFmtId="0" fontId="24" fillId="0" borderId="1" xfId="0" quotePrefix="1" applyFont="1" applyBorder="1" applyAlignment="1" applyProtection="1">
      <alignment horizontal="center" vertical="center" wrapText="1"/>
      <protection locked="0"/>
    </xf>
    <xf numFmtId="0" fontId="29" fillId="21" borderId="1" xfId="0" applyFont="1" applyFill="1" applyBorder="1" applyAlignment="1" applyProtection="1">
      <alignment horizontal="center" vertical="center" wrapText="1"/>
      <protection locked="0"/>
    </xf>
    <xf numFmtId="0" fontId="28" fillId="0" borderId="1" xfId="0" applyFont="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31" fillId="0" borderId="1" xfId="0" quotePrefix="1" applyFont="1" applyBorder="1" applyAlignment="1" applyProtection="1">
      <alignment horizontal="center" vertical="center" wrapText="1"/>
      <protection locked="0"/>
    </xf>
    <xf numFmtId="0" fontId="32" fillId="0" borderId="0" xfId="0" applyFont="1"/>
    <xf numFmtId="0" fontId="32" fillId="0" borderId="1" xfId="0" applyFont="1" applyBorder="1"/>
    <xf numFmtId="0" fontId="33" fillId="0" borderId="1" xfId="0" applyFont="1" applyBorder="1"/>
    <xf numFmtId="0" fontId="32" fillId="5" borderId="0" xfId="0" applyFont="1" applyFill="1"/>
    <xf numFmtId="0" fontId="32" fillId="13" borderId="0" xfId="0" applyFont="1" applyFill="1"/>
    <xf numFmtId="0" fontId="32" fillId="22" borderId="0" xfId="0" applyFont="1" applyFill="1"/>
    <xf numFmtId="0" fontId="33" fillId="0" borderId="0" xfId="0" applyFont="1"/>
    <xf numFmtId="0" fontId="26" fillId="0" borderId="0" xfId="0" applyFont="1" applyAlignment="1">
      <alignment horizontal="center" vertical="center"/>
    </xf>
    <xf numFmtId="0" fontId="28" fillId="7" borderId="1" xfId="0" applyFont="1" applyFill="1" applyBorder="1" applyAlignment="1" applyProtection="1">
      <alignment horizontal="center" vertical="center" wrapText="1"/>
      <protection locked="0"/>
    </xf>
    <xf numFmtId="0" fontId="26" fillId="0" borderId="0" xfId="0" applyFont="1" applyAlignment="1">
      <alignment vertical="center"/>
    </xf>
    <xf numFmtId="0" fontId="23" fillId="0" borderId="0" xfId="0" applyFont="1" applyAlignment="1">
      <alignment horizontal="center" vertical="center" textRotation="90" wrapText="1"/>
    </xf>
    <xf numFmtId="0" fontId="23" fillId="0" borderId="0" xfId="0" applyFont="1" applyAlignment="1">
      <alignment horizontal="center" vertical="center" textRotation="255" wrapText="1"/>
    </xf>
    <xf numFmtId="0" fontId="0" fillId="0" borderId="0" xfId="0" applyAlignment="1">
      <alignment textRotation="255"/>
    </xf>
    <xf numFmtId="0" fontId="23" fillId="0" borderId="0" xfId="0" applyFont="1" applyAlignment="1">
      <alignment textRotation="255"/>
    </xf>
    <xf numFmtId="0" fontId="27"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xf numFmtId="0" fontId="2" fillId="0" borderId="1" xfId="0" applyFont="1" applyBorder="1" applyAlignment="1" applyProtection="1">
      <alignment horizontal="center" vertical="center"/>
      <protection locked="0"/>
    </xf>
    <xf numFmtId="0" fontId="5" fillId="21" borderId="1" xfId="0" applyFont="1" applyFill="1" applyBorder="1" applyAlignment="1" applyProtection="1">
      <alignment horizontal="center" vertical="center"/>
      <protection locked="0"/>
    </xf>
    <xf numFmtId="0" fontId="5" fillId="21" borderId="1" xfId="0" applyFont="1" applyFill="1" applyBorder="1" applyAlignment="1" applyProtection="1">
      <alignment horizontal="center" vertical="center" wrapText="1"/>
      <protection locked="0"/>
    </xf>
    <xf numFmtId="0" fontId="37" fillId="21" borderId="1" xfId="0" applyFont="1" applyFill="1" applyBorder="1" applyAlignment="1" applyProtection="1">
      <alignment horizontal="center" wrapText="1"/>
      <protection locked="0"/>
    </xf>
    <xf numFmtId="0" fontId="30" fillId="4" borderId="1" xfId="0" applyFont="1" applyFill="1" applyBorder="1" applyAlignment="1" applyProtection="1">
      <alignment horizontal="center" vertical="center" wrapText="1"/>
      <protection locked="0"/>
    </xf>
    <xf numFmtId="0" fontId="38" fillId="0" borderId="0" xfId="0" applyFont="1" applyAlignment="1">
      <alignment horizontal="center" vertical="center" wrapText="1"/>
    </xf>
    <xf numFmtId="0" fontId="13" fillId="26" borderId="1" xfId="0" applyFont="1" applyFill="1" applyBorder="1" applyAlignment="1" applyProtection="1">
      <alignment horizontal="center" vertical="center" wrapText="1"/>
      <protection locked="0"/>
    </xf>
    <xf numFmtId="0" fontId="15" fillId="7" borderId="1" xfId="0" applyFont="1" applyFill="1" applyBorder="1" applyAlignment="1" applyProtection="1">
      <alignment horizontal="center" vertical="center" wrapText="1"/>
      <protection locked="0"/>
    </xf>
    <xf numFmtId="0" fontId="16" fillId="24" borderId="1" xfId="0" applyFont="1" applyFill="1" applyBorder="1" applyAlignment="1" applyProtection="1">
      <alignment horizontal="center" vertical="center" wrapText="1"/>
      <protection locked="0"/>
    </xf>
    <xf numFmtId="0" fontId="16" fillId="23" borderId="1" xfId="0" applyFont="1" applyFill="1" applyBorder="1" applyAlignment="1" applyProtection="1">
      <alignment horizontal="center" vertical="center" wrapText="1"/>
      <protection locked="0"/>
    </xf>
    <xf numFmtId="0" fontId="21" fillId="4" borderId="7" xfId="0" applyFont="1" applyFill="1" applyBorder="1" applyAlignment="1" applyProtection="1">
      <alignment horizontal="center" vertical="center" wrapText="1"/>
      <protection locked="0"/>
    </xf>
    <xf numFmtId="0" fontId="39" fillId="4" borderId="7" xfId="0" applyFont="1" applyFill="1" applyBorder="1" applyAlignment="1" applyProtection="1">
      <alignment horizontal="center" vertical="center" wrapText="1"/>
      <protection locked="0"/>
    </xf>
    <xf numFmtId="0" fontId="21" fillId="4" borderId="14" xfId="0" applyFont="1" applyFill="1" applyBorder="1" applyAlignment="1" applyProtection="1">
      <alignment horizontal="center" vertical="center" wrapText="1"/>
      <protection locked="0"/>
    </xf>
    <xf numFmtId="0" fontId="16" fillId="0" borderId="7" xfId="0" applyFont="1" applyBorder="1" applyAlignment="1" applyProtection="1">
      <alignment horizontal="left" vertical="center" wrapText="1"/>
      <protection locked="0"/>
    </xf>
    <xf numFmtId="0" fontId="14" fillId="0" borderId="7" xfId="0" applyFont="1" applyBorder="1" applyAlignment="1" applyProtection="1">
      <alignment horizontal="left" vertical="center" wrapText="1"/>
      <protection locked="0"/>
    </xf>
    <xf numFmtId="0" fontId="21" fillId="0" borderId="7" xfId="0" applyFont="1" applyBorder="1" applyAlignment="1" applyProtection="1">
      <alignment horizontal="center" vertical="center" wrapText="1"/>
      <protection locked="0"/>
    </xf>
    <xf numFmtId="0" fontId="14" fillId="0" borderId="7" xfId="0" applyFont="1" applyBorder="1" applyAlignment="1" applyProtection="1">
      <alignment horizontal="center" vertical="center" wrapText="1"/>
      <protection locked="0"/>
    </xf>
    <xf numFmtId="0" fontId="24" fillId="0" borderId="7" xfId="0" quotePrefix="1" applyFont="1" applyBorder="1" applyAlignment="1" applyProtection="1">
      <alignment horizontal="center" vertical="center" wrapText="1"/>
      <protection locked="0"/>
    </xf>
    <xf numFmtId="0" fontId="13" fillId="21" borderId="13" xfId="0" applyFont="1" applyFill="1" applyBorder="1" applyAlignment="1" applyProtection="1">
      <alignment horizontal="center" vertical="center" wrapText="1"/>
      <protection locked="0"/>
    </xf>
    <xf numFmtId="0" fontId="25" fillId="24" borderId="13" xfId="0" applyFont="1" applyFill="1" applyBorder="1" applyAlignment="1" applyProtection="1">
      <alignment horizontal="center" vertical="center" wrapText="1"/>
      <protection locked="0"/>
    </xf>
    <xf numFmtId="0" fontId="41" fillId="0" borderId="0" xfId="0" applyFont="1" applyAlignment="1">
      <alignment vertical="top"/>
    </xf>
    <xf numFmtId="0" fontId="42" fillId="0" borderId="0" xfId="0" applyFont="1" applyAlignment="1">
      <alignment vertical="top"/>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11" borderId="0" xfId="0" applyFont="1" applyFill="1" applyAlignment="1">
      <alignment horizontal="center" vertical="center"/>
    </xf>
    <xf numFmtId="0" fontId="2" fillId="0" borderId="0" xfId="0" applyFont="1" applyAlignment="1">
      <alignment horizontal="center"/>
    </xf>
    <xf numFmtId="0" fontId="5" fillId="2" borderId="2" xfId="0" applyFont="1" applyFill="1" applyBorder="1" applyAlignment="1" applyProtection="1">
      <alignment horizontal="center" vertical="center" wrapText="1"/>
      <protection locked="0"/>
    </xf>
    <xf numFmtId="0" fontId="5" fillId="2" borderId="3" xfId="0" applyFont="1" applyFill="1" applyBorder="1" applyAlignment="1" applyProtection="1">
      <alignment horizontal="center" vertical="center" wrapText="1"/>
      <protection locked="0"/>
    </xf>
    <xf numFmtId="0" fontId="5" fillId="2" borderId="4" xfId="0" applyFont="1" applyFill="1" applyBorder="1" applyAlignment="1" applyProtection="1">
      <alignment horizontal="center" vertical="center" wrapText="1"/>
      <protection locked="0"/>
    </xf>
    <xf numFmtId="0" fontId="5" fillId="2" borderId="5" xfId="0" applyFont="1" applyFill="1" applyBorder="1" applyAlignment="1" applyProtection="1">
      <alignment horizontal="center" vertical="center" wrapText="1"/>
      <protection locked="0"/>
    </xf>
    <xf numFmtId="0" fontId="40" fillId="26" borderId="13" xfId="0" applyFont="1" applyFill="1" applyBorder="1" applyAlignment="1">
      <alignment horizontal="center" vertical="center" wrapText="1"/>
    </xf>
    <xf numFmtId="0" fontId="13" fillId="21" borderId="13" xfId="0" applyFont="1" applyFill="1" applyBorder="1" applyAlignment="1" applyProtection="1">
      <alignment horizontal="center" vertical="center" wrapText="1"/>
      <protection locked="0"/>
    </xf>
    <xf numFmtId="0" fontId="5" fillId="26" borderId="1" xfId="0" applyFont="1" applyFill="1" applyBorder="1" applyAlignment="1">
      <alignment horizontal="center"/>
    </xf>
    <xf numFmtId="0" fontId="35" fillId="22" borderId="8" xfId="0" applyFont="1" applyFill="1" applyBorder="1" applyAlignment="1">
      <alignment horizontal="center" vertical="center"/>
    </xf>
    <xf numFmtId="0" fontId="35" fillId="22" borderId="9" xfId="0" applyFont="1" applyFill="1" applyBorder="1" applyAlignment="1">
      <alignment horizontal="center" vertical="center"/>
    </xf>
    <xf numFmtId="0" fontId="35" fillId="22" borderId="7" xfId="0" applyFont="1" applyFill="1" applyBorder="1" applyAlignment="1">
      <alignment horizontal="center" vertical="center"/>
    </xf>
    <xf numFmtId="0" fontId="23" fillId="0" borderId="0" xfId="0" applyFont="1" applyAlignment="1">
      <alignment horizontal="center"/>
    </xf>
    <xf numFmtId="0" fontId="35" fillId="5" borderId="8" xfId="0" applyFont="1" applyFill="1" applyBorder="1" applyAlignment="1">
      <alignment horizontal="center" vertical="center"/>
    </xf>
    <xf numFmtId="0" fontId="35" fillId="5" borderId="9" xfId="0" applyFont="1" applyFill="1" applyBorder="1" applyAlignment="1">
      <alignment horizontal="center" vertical="center"/>
    </xf>
    <xf numFmtId="0" fontId="35" fillId="5" borderId="7" xfId="0" applyFont="1" applyFill="1" applyBorder="1" applyAlignment="1">
      <alignment horizontal="center" vertical="center"/>
    </xf>
    <xf numFmtId="0" fontId="36" fillId="13" borderId="8" xfId="0" applyFont="1" applyFill="1" applyBorder="1" applyAlignment="1">
      <alignment horizontal="center" vertical="center"/>
    </xf>
    <xf numFmtId="0" fontId="36" fillId="13" borderId="9" xfId="0" applyFont="1" applyFill="1" applyBorder="1" applyAlignment="1">
      <alignment horizontal="center" vertical="center"/>
    </xf>
    <xf numFmtId="0" fontId="36" fillId="13" borderId="7" xfId="0" applyFont="1" applyFill="1" applyBorder="1" applyAlignment="1">
      <alignment horizontal="center" vertical="center"/>
    </xf>
    <xf numFmtId="0" fontId="34" fillId="0" borderId="10" xfId="0" applyFont="1" applyBorder="1" applyAlignment="1">
      <alignment horizontal="center" vertical="center"/>
    </xf>
    <xf numFmtId="0" fontId="34" fillId="0" borderId="11" xfId="0" applyFont="1" applyBorder="1" applyAlignment="1">
      <alignment horizontal="center" vertical="center"/>
    </xf>
    <xf numFmtId="0" fontId="34" fillId="0" borderId="12" xfId="0" applyFont="1" applyBorder="1" applyAlignment="1">
      <alignment horizontal="center" vertical="center"/>
    </xf>
    <xf numFmtId="0" fontId="23" fillId="0" borderId="0" xfId="0" applyFont="1" applyAlignment="1">
      <alignment horizontal="center" vertical="center" textRotation="90" wrapText="1"/>
    </xf>
    <xf numFmtId="0" fontId="0" fillId="5" borderId="8" xfId="0" applyFill="1" applyBorder="1" applyAlignment="1">
      <alignment horizontal="center"/>
    </xf>
    <xf numFmtId="0" fontId="0" fillId="5" borderId="9" xfId="0" applyFill="1" applyBorder="1" applyAlignment="1">
      <alignment horizontal="center"/>
    </xf>
    <xf numFmtId="0" fontId="0" fillId="5" borderId="7" xfId="0" applyFill="1" applyBorder="1" applyAlignment="1">
      <alignment horizontal="center"/>
    </xf>
    <xf numFmtId="0" fontId="0" fillId="13" borderId="8" xfId="0" applyFill="1" applyBorder="1" applyAlignment="1">
      <alignment horizontal="center"/>
    </xf>
    <xf numFmtId="0" fontId="0" fillId="13" borderId="9" xfId="0" applyFill="1" applyBorder="1" applyAlignment="1">
      <alignment horizontal="center"/>
    </xf>
    <xf numFmtId="0" fontId="0" fillId="13" borderId="7" xfId="0" applyFill="1" applyBorder="1" applyAlignment="1">
      <alignment horizontal="center"/>
    </xf>
    <xf numFmtId="0" fontId="0" fillId="22" borderId="8" xfId="0" applyFill="1" applyBorder="1" applyAlignment="1">
      <alignment horizontal="center"/>
    </xf>
    <xf numFmtId="0" fontId="0" fillId="22" borderId="9" xfId="0" applyFill="1" applyBorder="1" applyAlignment="1">
      <alignment horizontal="center"/>
    </xf>
    <xf numFmtId="0" fontId="0" fillId="22" borderId="7" xfId="0" applyFill="1" applyBorder="1" applyAlignment="1">
      <alignment horizontal="center"/>
    </xf>
  </cellXfs>
  <cellStyles count="2">
    <cellStyle name="Normal" xfId="0" builtinId="0"/>
    <cellStyle name="Normal_Generic_RACM_Acctg to ReprXXXtg" xfId="1" xr:uid="{00000000-0005-0000-0000-000001000000}"/>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92D050"/>
        </patternFill>
      </fill>
    </dxf>
    <dxf>
      <font>
        <b/>
        <i val="0"/>
        <color theme="1"/>
      </font>
      <fill>
        <patternFill>
          <bgColor rgb="FFFF0000"/>
        </patternFill>
      </fill>
    </dxf>
    <dxf>
      <font>
        <b/>
        <i val="0"/>
        <color theme="1"/>
      </font>
      <fill>
        <patternFill>
          <bgColor rgb="FFFFFF00"/>
        </patternFill>
      </fill>
    </dxf>
    <dxf>
      <fill>
        <patternFill>
          <bgColor rgb="FFFF0000"/>
        </patternFill>
      </fill>
    </dxf>
    <dxf>
      <fill>
        <patternFill>
          <bgColor rgb="FFFFFF00"/>
        </patternFill>
      </fill>
    </dxf>
    <dxf>
      <fill>
        <patternFill>
          <bgColor rgb="FF92D050"/>
        </patternFill>
      </fill>
    </dxf>
    <dxf>
      <font>
        <b/>
        <i val="0"/>
        <color theme="1"/>
      </font>
      <fill>
        <patternFill>
          <bgColor rgb="FFFF0000"/>
        </patternFill>
      </fill>
    </dxf>
    <dxf>
      <font>
        <b/>
        <i val="0"/>
        <color theme="1"/>
      </font>
      <fill>
        <patternFill>
          <bgColor rgb="FFFFFF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FF00"/>
        </patternFill>
      </fill>
    </dxf>
    <dxf>
      <fill>
        <patternFill>
          <bgColor rgb="FF92D050"/>
        </patternFill>
      </fill>
    </dxf>
    <dxf>
      <font>
        <b/>
        <i val="0"/>
        <color theme="1"/>
      </font>
      <fill>
        <patternFill>
          <bgColor rgb="FFFF0000"/>
        </patternFill>
      </fill>
    </dxf>
    <dxf>
      <font>
        <b/>
        <i val="0"/>
        <color theme="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E600"/>
      <color rgb="FF24022C"/>
      <color rgb="FF460F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spPr>
            <a:solidFill>
              <a:schemeClr val="accent1">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'Mapping (2)'!$D$7:$D$28</c:f>
              <c:numCache>
                <c:formatCode>General</c:formatCode>
                <c:ptCount val="22"/>
                <c:pt idx="0">
                  <c:v>5</c:v>
                </c:pt>
                <c:pt idx="1">
                  <c:v>5</c:v>
                </c:pt>
                <c:pt idx="2">
                  <c:v>4</c:v>
                </c:pt>
                <c:pt idx="3">
                  <c:v>3</c:v>
                </c:pt>
                <c:pt idx="4">
                  <c:v>3</c:v>
                </c:pt>
                <c:pt idx="5">
                  <c:v>4</c:v>
                </c:pt>
                <c:pt idx="6">
                  <c:v>4</c:v>
                </c:pt>
                <c:pt idx="7">
                  <c:v>4</c:v>
                </c:pt>
                <c:pt idx="8">
                  <c:v>3</c:v>
                </c:pt>
                <c:pt idx="9">
                  <c:v>2</c:v>
                </c:pt>
                <c:pt idx="10">
                  <c:v>3</c:v>
                </c:pt>
                <c:pt idx="11">
                  <c:v>5</c:v>
                </c:pt>
                <c:pt idx="12">
                  <c:v>5</c:v>
                </c:pt>
                <c:pt idx="13">
                  <c:v>3</c:v>
                </c:pt>
                <c:pt idx="14">
                  <c:v>3</c:v>
                </c:pt>
                <c:pt idx="15">
                  <c:v>5</c:v>
                </c:pt>
                <c:pt idx="16">
                  <c:v>5</c:v>
                </c:pt>
                <c:pt idx="17">
                  <c:v>5</c:v>
                </c:pt>
                <c:pt idx="18">
                  <c:v>3</c:v>
                </c:pt>
                <c:pt idx="19">
                  <c:v>5</c:v>
                </c:pt>
                <c:pt idx="20">
                  <c:v>5</c:v>
                </c:pt>
                <c:pt idx="21">
                  <c:v>5</c:v>
                </c:pt>
              </c:numCache>
            </c:numRef>
          </c:xVal>
          <c:yVal>
            <c:numRef>
              <c:f>'Mapping (2)'!$E$7:$E$28</c:f>
              <c:numCache>
                <c:formatCode>General</c:formatCode>
                <c:ptCount val="22"/>
                <c:pt idx="0">
                  <c:v>4</c:v>
                </c:pt>
                <c:pt idx="1">
                  <c:v>2</c:v>
                </c:pt>
                <c:pt idx="2">
                  <c:v>3</c:v>
                </c:pt>
                <c:pt idx="3">
                  <c:v>2</c:v>
                </c:pt>
                <c:pt idx="4">
                  <c:v>3</c:v>
                </c:pt>
                <c:pt idx="5">
                  <c:v>2</c:v>
                </c:pt>
                <c:pt idx="6">
                  <c:v>2</c:v>
                </c:pt>
                <c:pt idx="7">
                  <c:v>3</c:v>
                </c:pt>
                <c:pt idx="8">
                  <c:v>4</c:v>
                </c:pt>
                <c:pt idx="9">
                  <c:v>3</c:v>
                </c:pt>
                <c:pt idx="10">
                  <c:v>2</c:v>
                </c:pt>
                <c:pt idx="11">
                  <c:v>3</c:v>
                </c:pt>
                <c:pt idx="12">
                  <c:v>3</c:v>
                </c:pt>
                <c:pt idx="13">
                  <c:v>3</c:v>
                </c:pt>
                <c:pt idx="14">
                  <c:v>2</c:v>
                </c:pt>
                <c:pt idx="15">
                  <c:v>4</c:v>
                </c:pt>
                <c:pt idx="16">
                  <c:v>4</c:v>
                </c:pt>
                <c:pt idx="17">
                  <c:v>4</c:v>
                </c:pt>
                <c:pt idx="18">
                  <c:v>2</c:v>
                </c:pt>
                <c:pt idx="19">
                  <c:v>2</c:v>
                </c:pt>
                <c:pt idx="20">
                  <c:v>2</c:v>
                </c:pt>
                <c:pt idx="21">
                  <c:v>2</c:v>
                </c:pt>
              </c:numCache>
            </c:numRef>
          </c:yVal>
          <c:bubbleSize>
            <c:numRef>
              <c:f>'Mapping (2)'!$F$7:$F$28</c:f>
              <c:numCache>
                <c:formatCode>General</c:formatCode>
                <c:ptCount val="22"/>
                <c:pt idx="0">
                  <c:v>4</c:v>
                </c:pt>
                <c:pt idx="1">
                  <c:v>5</c:v>
                </c:pt>
                <c:pt idx="2">
                  <c:v>2</c:v>
                </c:pt>
                <c:pt idx="3">
                  <c:v>4</c:v>
                </c:pt>
                <c:pt idx="4">
                  <c:v>2</c:v>
                </c:pt>
                <c:pt idx="5">
                  <c:v>2</c:v>
                </c:pt>
                <c:pt idx="6">
                  <c:v>2</c:v>
                </c:pt>
                <c:pt idx="7">
                  <c:v>2</c:v>
                </c:pt>
                <c:pt idx="8">
                  <c:v>1</c:v>
                </c:pt>
                <c:pt idx="9">
                  <c:v>1</c:v>
                </c:pt>
                <c:pt idx="10">
                  <c:v>4</c:v>
                </c:pt>
                <c:pt idx="11">
                  <c:v>1</c:v>
                </c:pt>
                <c:pt idx="12">
                  <c:v>1</c:v>
                </c:pt>
                <c:pt idx="13">
                  <c:v>2</c:v>
                </c:pt>
                <c:pt idx="14">
                  <c:v>4</c:v>
                </c:pt>
                <c:pt idx="15">
                  <c:v>4</c:v>
                </c:pt>
                <c:pt idx="16">
                  <c:v>4</c:v>
                </c:pt>
                <c:pt idx="17">
                  <c:v>4</c:v>
                </c:pt>
                <c:pt idx="18">
                  <c:v>4</c:v>
                </c:pt>
                <c:pt idx="19">
                  <c:v>5</c:v>
                </c:pt>
                <c:pt idx="20">
                  <c:v>5</c:v>
                </c:pt>
                <c:pt idx="21">
                  <c:v>5</c:v>
                </c:pt>
              </c:numCache>
            </c:numRef>
          </c:bubbleSize>
          <c:bubble3D val="0"/>
          <c:extLst>
            <c:ext xmlns:c16="http://schemas.microsoft.com/office/drawing/2014/chart" uri="{C3380CC4-5D6E-409C-BE32-E72D297353CC}">
              <c16:uniqueId val="{00000000-DE95-4C1D-8034-45A72DDE7DB5}"/>
            </c:ext>
          </c:extLst>
        </c:ser>
        <c:dLbls>
          <c:showLegendKey val="0"/>
          <c:showVal val="0"/>
          <c:showCatName val="0"/>
          <c:showSerName val="0"/>
          <c:showPercent val="0"/>
          <c:showBubbleSize val="0"/>
        </c:dLbls>
        <c:bubbleScale val="100"/>
        <c:showNegBubbles val="0"/>
        <c:axId val="795811264"/>
        <c:axId val="795807984"/>
      </c:bubbleChart>
      <c:valAx>
        <c:axId val="795811264"/>
        <c:scaling>
          <c:orientation val="minMax"/>
        </c:scaling>
        <c:delete val="1"/>
        <c:axPos val="b"/>
        <c:numFmt formatCode="General" sourceLinked="1"/>
        <c:majorTickMark val="none"/>
        <c:minorTickMark val="none"/>
        <c:tickLblPos val="nextTo"/>
        <c:crossAx val="795807984"/>
        <c:crosses val="autoZero"/>
        <c:crossBetween val="midCat"/>
      </c:valAx>
      <c:valAx>
        <c:axId val="795807984"/>
        <c:scaling>
          <c:orientation val="minMax"/>
        </c:scaling>
        <c:delete val="1"/>
        <c:axPos val="l"/>
        <c:numFmt formatCode="General" sourceLinked="1"/>
        <c:majorTickMark val="none"/>
        <c:minorTickMark val="none"/>
        <c:tickLblPos val="nextTo"/>
        <c:crossAx val="795811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57150</xdr:colOff>
      <xdr:row>4</xdr:row>
      <xdr:rowOff>180975</xdr:rowOff>
    </xdr:from>
    <xdr:to>
      <xdr:col>8</xdr:col>
      <xdr:colOff>66675</xdr:colOff>
      <xdr:row>21</xdr:row>
      <xdr:rowOff>152400</xdr:rowOff>
    </xdr:to>
    <xdr:cxnSp macro="">
      <xdr:nvCxnSpPr>
        <xdr:cNvPr id="3" name="Straight Arrow Connector 2">
          <a:extLst>
            <a:ext uri="{FF2B5EF4-FFF2-40B4-BE49-F238E27FC236}">
              <a16:creationId xmlns:a16="http://schemas.microsoft.com/office/drawing/2014/main" id="{C549BF3A-449C-4E39-ACDB-DAFFC2A4BCAC}"/>
            </a:ext>
          </a:extLst>
        </xdr:cNvPr>
        <xdr:cNvCxnSpPr/>
      </xdr:nvCxnSpPr>
      <xdr:spPr>
        <a:xfrm flipV="1">
          <a:off x="3971925" y="977900"/>
          <a:ext cx="6350" cy="310832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227330</xdr:colOff>
      <xdr:row>24</xdr:row>
      <xdr:rowOff>26670</xdr:rowOff>
    </xdr:from>
    <xdr:to>
      <xdr:col>14</xdr:col>
      <xdr:colOff>182880</xdr:colOff>
      <xdr:row>24</xdr:row>
      <xdr:rowOff>66675</xdr:rowOff>
    </xdr:to>
    <xdr:cxnSp macro="">
      <xdr:nvCxnSpPr>
        <xdr:cNvPr id="4" name="Straight Arrow Connector 3">
          <a:extLst>
            <a:ext uri="{FF2B5EF4-FFF2-40B4-BE49-F238E27FC236}">
              <a16:creationId xmlns:a16="http://schemas.microsoft.com/office/drawing/2014/main" id="{E88A69C6-B449-43B5-AED5-34A44A0C2E87}"/>
            </a:ext>
          </a:extLst>
        </xdr:cNvPr>
        <xdr:cNvCxnSpPr/>
      </xdr:nvCxnSpPr>
      <xdr:spPr>
        <a:xfrm>
          <a:off x="4105910" y="4697730"/>
          <a:ext cx="5899150" cy="4000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292100</xdr:colOff>
      <xdr:row>4</xdr:row>
      <xdr:rowOff>219075</xdr:rowOff>
    </xdr:from>
    <xdr:to>
      <xdr:col>15</xdr:col>
      <xdr:colOff>152400</xdr:colOff>
      <xdr:row>20</xdr:row>
      <xdr:rowOff>152400</xdr:rowOff>
    </xdr:to>
    <xdr:graphicFrame macro="">
      <xdr:nvGraphicFramePr>
        <xdr:cNvPr id="8" name="Chart 7">
          <a:extLst>
            <a:ext uri="{FF2B5EF4-FFF2-40B4-BE49-F238E27FC236}">
              <a16:creationId xmlns:a16="http://schemas.microsoft.com/office/drawing/2014/main" id="{5DB1BBB4-5404-4868-96E4-4D861EC2C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xdr:colOff>
      <xdr:row>4</xdr:row>
      <xdr:rowOff>180975</xdr:rowOff>
    </xdr:from>
    <xdr:to>
      <xdr:col>8</xdr:col>
      <xdr:colOff>66675</xdr:colOff>
      <xdr:row>20</xdr:row>
      <xdr:rowOff>152400</xdr:rowOff>
    </xdr:to>
    <xdr:cxnSp macro="">
      <xdr:nvCxnSpPr>
        <xdr:cNvPr id="14" name="Straight Arrow Connector 13">
          <a:extLst>
            <a:ext uri="{FF2B5EF4-FFF2-40B4-BE49-F238E27FC236}">
              <a16:creationId xmlns:a16="http://schemas.microsoft.com/office/drawing/2014/main" id="{C02E9016-63FA-427C-AA85-AEDCB6AE2D5F}"/>
            </a:ext>
          </a:extLst>
        </xdr:cNvPr>
        <xdr:cNvCxnSpPr/>
      </xdr:nvCxnSpPr>
      <xdr:spPr>
        <a:xfrm flipV="1">
          <a:off x="3971925" y="381000"/>
          <a:ext cx="9525" cy="3105150"/>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276225</xdr:colOff>
      <xdr:row>23</xdr:row>
      <xdr:rowOff>171450</xdr:rowOff>
    </xdr:from>
    <xdr:to>
      <xdr:col>14</xdr:col>
      <xdr:colOff>120650</xdr:colOff>
      <xdr:row>24</xdr:row>
      <xdr:rowOff>1</xdr:rowOff>
    </xdr:to>
    <xdr:cxnSp macro="">
      <xdr:nvCxnSpPr>
        <xdr:cNvPr id="16" name="Straight Arrow Connector 15">
          <a:extLst>
            <a:ext uri="{FF2B5EF4-FFF2-40B4-BE49-F238E27FC236}">
              <a16:creationId xmlns:a16="http://schemas.microsoft.com/office/drawing/2014/main" id="{3FB6A748-79DC-48B0-A63F-58940F530185}"/>
            </a:ext>
          </a:extLst>
        </xdr:cNvPr>
        <xdr:cNvCxnSpPr/>
      </xdr:nvCxnSpPr>
      <xdr:spPr>
        <a:xfrm>
          <a:off x="4191000" y="4048125"/>
          <a:ext cx="5873750" cy="9526"/>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RACM\RACM%20GOC%20I%20Entrada%20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Matriz"/>
      <sheetName val="Sheet1"/>
      <sheetName val="Sheet2"/>
      <sheetName val="Sheet3"/>
      <sheetName val="Riesgos 1 control"/>
      <sheetName val="Pivot Agrupación Ponderación"/>
      <sheetName val="Pivot Riesgos- 1C"/>
      <sheetName val="Listas"/>
      <sheetName val="Cálculo clasificación"/>
    </sheetNames>
    <sheetDataSet>
      <sheetData sheetId="0"/>
      <sheetData sheetId="1"/>
      <sheetData sheetId="2"/>
      <sheetData sheetId="3"/>
      <sheetData sheetId="4"/>
      <sheetData sheetId="5"/>
      <sheetData sheetId="6"/>
      <sheetData sheetId="7"/>
      <sheetData sheetId="8">
        <row r="3">
          <cell r="I3" t="str">
            <v>Estratégicos</v>
          </cell>
          <cell r="J3" t="str">
            <v>Estratégicos</v>
          </cell>
          <cell r="K3" t="str">
            <v>Gestionar Planificación Corporativa</v>
          </cell>
          <cell r="N3" t="str">
            <v>Gestionar Planificación Corporativa</v>
          </cell>
          <cell r="O3" t="str">
            <v>Objetivos estratégicos corporativos</v>
          </cell>
        </row>
        <row r="4">
          <cell r="I4" t="str">
            <v>Negocio</v>
          </cell>
          <cell r="J4" t="str">
            <v>Estratégicos</v>
          </cell>
          <cell r="K4" t="str">
            <v>Definir Estrategia Financiera</v>
          </cell>
          <cell r="N4" t="str">
            <v>Gestionar Planificación Corporativa</v>
          </cell>
          <cell r="O4" t="str">
            <v>Planes de negocio y planes de actividades</v>
          </cell>
        </row>
        <row r="5">
          <cell r="I5" t="str">
            <v>Control</v>
          </cell>
          <cell r="J5" t="str">
            <v>Estratégicos</v>
          </cell>
          <cell r="K5" t="str">
            <v>Gestionar Estrategia País</v>
          </cell>
          <cell r="N5" t="str">
            <v>Gestionar Planificación Corporativa</v>
          </cell>
          <cell r="O5" t="str">
            <v>Presupuesto gastos administrativos y de inversiones</v>
          </cell>
        </row>
        <row r="6">
          <cell r="I6" t="str">
            <v>Soporte</v>
          </cell>
          <cell r="J6" t="str">
            <v>Estratégicos</v>
          </cell>
          <cell r="K6" t="str">
            <v>Gestionar Comunicaciones Corporativas</v>
          </cell>
          <cell r="N6" t="str">
            <v>Gestionar Planificación Corporativa</v>
          </cell>
          <cell r="O6" t="str">
            <v>Elaboración del Programa de actividades y presupuesto (PAP)</v>
          </cell>
        </row>
        <row r="7">
          <cell r="J7" t="str">
            <v>Estratégicos</v>
          </cell>
          <cell r="K7" t="str">
            <v>Eficiencia Interna</v>
          </cell>
          <cell r="N7" t="str">
            <v>Gestionar Planificación Corporativa</v>
          </cell>
          <cell r="O7" t="str">
            <v>Programación Operativa</v>
          </cell>
        </row>
        <row r="8">
          <cell r="J8" t="str">
            <v>Negocio</v>
          </cell>
          <cell r="K8" t="str">
            <v>Captar Recursos Financieros</v>
          </cell>
          <cell r="N8" t="str">
            <v>Gestionar Planificación Corporativa</v>
          </cell>
          <cell r="O8" t="str">
            <v>Programación financiera</v>
          </cell>
        </row>
        <row r="9">
          <cell r="J9" t="str">
            <v>Negocio</v>
          </cell>
          <cell r="K9" t="str">
            <v>Gestionar Recursos Financieros (Liquidez)</v>
          </cell>
          <cell r="N9" t="str">
            <v>Gestionar Planificación Corporativa</v>
          </cell>
          <cell r="O9" t="str">
            <v>Actualización y seguimiento de Programación Operativa</v>
          </cell>
        </row>
        <row r="10">
          <cell r="J10" t="str">
            <v>Negocio</v>
          </cell>
          <cell r="K10" t="str">
            <v>Generar Conocimiento</v>
          </cell>
          <cell r="N10" t="str">
            <v>Gestionar Planificación Corporativa</v>
          </cell>
          <cell r="O10" t="str">
            <v>Evaluación y seguimiento de la gestión corporativa</v>
          </cell>
        </row>
        <row r="11">
          <cell r="J11" t="str">
            <v>Negocio</v>
          </cell>
          <cell r="K11" t="str">
            <v>Gestionar Negocio de Crédito e Inversiones Patrimoniales</v>
          </cell>
          <cell r="N11" t="str">
            <v>Definir Estrategia Financiera</v>
          </cell>
          <cell r="O11" t="str">
            <v>Por definir</v>
          </cell>
        </row>
        <row r="12">
          <cell r="J12" t="str">
            <v>Negocio</v>
          </cell>
          <cell r="K12" t="str">
            <v>Gestionar Cooperación Técnica</v>
          </cell>
          <cell r="N12" t="str">
            <v>Gestionar Estrategia País</v>
          </cell>
          <cell r="O12" t="str">
            <v>Por definir</v>
          </cell>
        </row>
        <row r="13">
          <cell r="J13" t="str">
            <v>Negocio</v>
          </cell>
          <cell r="K13" t="str">
            <v>Administrar Fondos</v>
          </cell>
          <cell r="N13" t="str">
            <v>Gestionar Comunicaciones Corporativas</v>
          </cell>
          <cell r="O13" t="str">
            <v>Por definir</v>
          </cell>
        </row>
        <row r="14">
          <cell r="J14" t="str">
            <v>Control</v>
          </cell>
          <cell r="K14" t="str">
            <v>Gestionar Riesgos</v>
          </cell>
          <cell r="N14" t="str">
            <v>Eficiencia Interna</v>
          </cell>
          <cell r="O14" t="str">
            <v>Por definir</v>
          </cell>
        </row>
        <row r="15">
          <cell r="J15" t="str">
            <v>Control</v>
          </cell>
          <cell r="K15" t="str">
            <v>Gestionar Auditoria</v>
          </cell>
          <cell r="N15" t="str">
            <v>Captar Recursos Financieros</v>
          </cell>
          <cell r="O15" t="str">
            <v>Contratar swaps de préstamo</v>
          </cell>
        </row>
        <row r="16">
          <cell r="J16" t="str">
            <v>Soporte</v>
          </cell>
          <cell r="K16" t="str">
            <v>Gestionar Soporte Jurídico</v>
          </cell>
          <cell r="N16" t="str">
            <v>Captar Recursos Financieros</v>
          </cell>
          <cell r="O16" t="str">
            <v>Emisiones en Mercados de Capital Internacionales y Locales</v>
          </cell>
        </row>
        <row r="17">
          <cell r="B17" t="str">
            <v>Información Financiera</v>
          </cell>
          <cell r="J17" t="str">
            <v>Soporte</v>
          </cell>
          <cell r="K17" t="str">
            <v>Gestionar Medios y Contenidos Corporativos</v>
          </cell>
          <cell r="N17" t="str">
            <v>Captar Recursos Financieros</v>
          </cell>
          <cell r="O17" t="str">
            <v>Financiamiento multilateral y de Banca Comercial</v>
          </cell>
        </row>
        <row r="18">
          <cell r="B18" t="str">
            <v>Operativo</v>
          </cell>
          <cell r="J18" t="str">
            <v>Soporte</v>
          </cell>
          <cell r="K18" t="str">
            <v>Gestionar Secretaría</v>
          </cell>
          <cell r="N18" t="str">
            <v>Captar Recursos Financieros</v>
          </cell>
          <cell r="O18" t="str">
            <v>Gestionar Recursos Financieros Institucionales</v>
          </cell>
        </row>
        <row r="19">
          <cell r="B19" t="str">
            <v>Cumplimiento</v>
          </cell>
          <cell r="J19" t="str">
            <v>Soporte</v>
          </cell>
          <cell r="K19" t="str">
            <v>Gestionar Operación</v>
          </cell>
          <cell r="N19" t="str">
            <v>Captar Recursos Financieros</v>
          </cell>
          <cell r="O19" t="str">
            <v>Papeles comerciales</v>
          </cell>
        </row>
        <row r="20">
          <cell r="B20" t="str">
            <v>Información / Operativo</v>
          </cell>
          <cell r="J20" t="str">
            <v>Soporte</v>
          </cell>
          <cell r="K20" t="str">
            <v>Gestionar Custodia</v>
          </cell>
          <cell r="N20" t="str">
            <v>Gestionar Recursos Financieros (Liquidez)</v>
          </cell>
          <cell r="O20" t="str">
            <v>Aprobación de violaciones de reglas de cumplimiento en bloomberg</v>
          </cell>
        </row>
        <row r="21">
          <cell r="B21" t="str">
            <v>Información / Cumplimiento</v>
          </cell>
          <cell r="J21" t="str">
            <v>Soporte</v>
          </cell>
          <cell r="K21" t="str">
            <v>Gestionar Contabilidad y Reportes Financieros</v>
          </cell>
          <cell r="N21" t="str">
            <v>Gestionar Recursos Financieros (Liquidez)</v>
          </cell>
          <cell r="O21" t="str">
            <v>Depósito a plazo</v>
          </cell>
        </row>
        <row r="22">
          <cell r="B22" t="str">
            <v>Operativo / Cumplimiento</v>
          </cell>
          <cell r="J22" t="str">
            <v>Soporte</v>
          </cell>
          <cell r="K22" t="str">
            <v>Gestionar Talento Humano</v>
          </cell>
          <cell r="N22" t="str">
            <v>Gestionar Recursos Financieros (Liquidez)</v>
          </cell>
          <cell r="O22" t="str">
            <v>Fondos de liquidez</v>
          </cell>
        </row>
        <row r="23">
          <cell r="B23" t="str">
            <v>Información / Operativo / Cumplimiento</v>
          </cell>
          <cell r="J23" t="str">
            <v>Soporte</v>
          </cell>
          <cell r="K23" t="str">
            <v>Gestionar Logística y Administración</v>
          </cell>
          <cell r="N23" t="str">
            <v>Gestionar Recursos Financieros (Liquidez)</v>
          </cell>
          <cell r="O23" t="str">
            <v>Forex</v>
          </cell>
        </row>
        <row r="24">
          <cell r="B24" t="str">
            <v>N/A</v>
          </cell>
          <cell r="J24" t="str">
            <v>Soporte</v>
          </cell>
          <cell r="K24" t="str">
            <v>Gestionar Procesos</v>
          </cell>
          <cell r="N24" t="str">
            <v>Gestionar Recursos Financieros (Liquidez)</v>
          </cell>
          <cell r="O24" t="str">
            <v>Instrumentos de cobertura</v>
          </cell>
        </row>
        <row r="25">
          <cell r="J25" t="str">
            <v>Soporte</v>
          </cell>
          <cell r="K25" t="str">
            <v>Gestionar Arquitectura TI</v>
          </cell>
          <cell r="N25" t="str">
            <v>Gestionar Recursos Financieros (Liquidez)</v>
          </cell>
          <cell r="O25" t="str">
            <v>Instrumentos de cobertura futuros</v>
          </cell>
        </row>
        <row r="26">
          <cell r="B26" t="str">
            <v>Sí</v>
          </cell>
          <cell r="J26" t="str">
            <v>Soporte</v>
          </cell>
          <cell r="K26" t="str">
            <v>Gestionar Proyectos TI</v>
          </cell>
          <cell r="N26" t="str">
            <v>Gestionar Recursos Financieros (Liquidez)</v>
          </cell>
          <cell r="O26" t="str">
            <v>Portafolios administrados por terceros</v>
          </cell>
        </row>
        <row r="27">
          <cell r="B27" t="str">
            <v>No</v>
          </cell>
          <cell r="J27" t="str">
            <v>Soporte</v>
          </cell>
          <cell r="K27" t="str">
            <v>Gestionar TI</v>
          </cell>
          <cell r="N27" t="str">
            <v>Gestionar Recursos Financieros (Liquidez)</v>
          </cell>
          <cell r="O27" t="str">
            <v>Proceso transversal de valoración de swaps</v>
          </cell>
        </row>
        <row r="28">
          <cell r="N28" t="str">
            <v>Gestionar Recursos Financieros (Liquidez)</v>
          </cell>
          <cell r="O28" t="str">
            <v>Revisión de reglas de cumplimiento en bloomberg</v>
          </cell>
        </row>
        <row r="29">
          <cell r="N29" t="str">
            <v>Generar Conocimiento</v>
          </cell>
          <cell r="O29" t="str">
            <v>Por definir</v>
          </cell>
        </row>
        <row r="30">
          <cell r="N30" t="str">
            <v>Gestionar Negocio de Crédito e Inversiones Patrimoniales</v>
          </cell>
          <cell r="O30" t="str">
            <v>Proceso de Crédito Soberano</v>
          </cell>
        </row>
        <row r="31">
          <cell r="N31" t="str">
            <v>Gestionar Negocio de Crédito e Inversiones Patrimoniales</v>
          </cell>
          <cell r="O31" t="str">
            <v>Proceso de Crédito No Soberano</v>
          </cell>
        </row>
        <row r="32">
          <cell r="N32" t="str">
            <v>Gestionar Negocio de Crédito e Inversiones Patrimoniales</v>
          </cell>
          <cell r="O32" t="str">
            <v>Proceso de Crédito Inversiones Patrimoniales</v>
          </cell>
        </row>
        <row r="33">
          <cell r="N33" t="str">
            <v>Gestionar Negocio de Crédito e Inversiones Patrimoniales</v>
          </cell>
          <cell r="O33" t="str">
            <v>Asesoramiento Financiero</v>
          </cell>
        </row>
        <row r="34">
          <cell r="N34" t="str">
            <v>Gestionar Cooperación Técnica</v>
          </cell>
          <cell r="O34" t="str">
            <v>Conceptualización CT</v>
          </cell>
        </row>
        <row r="35">
          <cell r="N35" t="str">
            <v>Gestionar Cooperación Técnica</v>
          </cell>
          <cell r="O35" t="str">
            <v>Originación CT</v>
          </cell>
        </row>
        <row r="36">
          <cell r="N36" t="str">
            <v>Gestionar Cooperación Técnica</v>
          </cell>
          <cell r="O36" t="str">
            <v>Aprobación CT</v>
          </cell>
        </row>
        <row r="37">
          <cell r="N37" t="str">
            <v>Gestionar Cooperación Técnica</v>
          </cell>
          <cell r="O37" t="str">
            <v>Administración CT</v>
          </cell>
        </row>
        <row r="38">
          <cell r="N38" t="str">
            <v>Gestionar Cooperación Técnica</v>
          </cell>
          <cell r="O38" t="str">
            <v>Cierre CT</v>
          </cell>
        </row>
        <row r="39">
          <cell r="N39" t="str">
            <v>Administrar Fondos</v>
          </cell>
          <cell r="O39" t="str">
            <v>Identificación</v>
          </cell>
        </row>
        <row r="40">
          <cell r="N40" t="str">
            <v>Administrar Fondos</v>
          </cell>
          <cell r="O40" t="str">
            <v>Formalización RT</v>
          </cell>
        </row>
        <row r="41">
          <cell r="N41" t="str">
            <v>Administrar Fondos</v>
          </cell>
          <cell r="O41" t="str">
            <v>Administración RT</v>
          </cell>
        </row>
        <row r="42">
          <cell r="N42" t="str">
            <v>Administrar Fondos</v>
          </cell>
          <cell r="O42" t="str">
            <v>Cierre</v>
          </cell>
        </row>
        <row r="43">
          <cell r="B43" t="str">
            <v>Diseño del control</v>
          </cell>
          <cell r="N43" t="str">
            <v>Gestionar Riesgos</v>
          </cell>
          <cell r="O43" t="str">
            <v>Control Integral de Riesgos</v>
          </cell>
        </row>
        <row r="44">
          <cell r="B44" t="str">
            <v>Adecuado</v>
          </cell>
          <cell r="N44" t="str">
            <v>Gestionar Riesgos</v>
          </cell>
          <cell r="O44" t="str">
            <v>Evaluación de Riesgo Ambiental</v>
          </cell>
        </row>
        <row r="45">
          <cell r="B45" t="str">
            <v>Adecuado con oportunidad de mejora</v>
          </cell>
          <cell r="N45" t="str">
            <v>Gestionar Riesgos</v>
          </cell>
          <cell r="O45" t="str">
            <v>Aplicación de la Metodología COSO sobre reportes financieros</v>
          </cell>
        </row>
        <row r="46">
          <cell r="B46" t="str">
            <v>Adecuado en diseño / Sin población para recorrido</v>
          </cell>
          <cell r="N46" t="str">
            <v>Gestionar Riesgos</v>
          </cell>
          <cell r="O46" t="str">
            <v>Continuidad de Negocios</v>
          </cell>
        </row>
        <row r="47">
          <cell r="B47" t="str">
            <v>Adecuado en diseño con oportunidad de mejora/Sin población para recorrido</v>
          </cell>
          <cell r="N47" t="str">
            <v>Gestionar Riesgos</v>
          </cell>
          <cell r="O47" t="str">
            <v>Gestión de Riesgos Operacionales</v>
          </cell>
        </row>
        <row r="48">
          <cell r="B48" t="str">
            <v>Inadecuado</v>
          </cell>
          <cell r="N48" t="str">
            <v>Gestionar Riesgos</v>
          </cell>
          <cell r="O48" t="str">
            <v>Gestionar activos especiales</v>
          </cell>
        </row>
        <row r="49">
          <cell r="B49" t="str">
            <v>No aplica</v>
          </cell>
          <cell r="N49" t="str">
            <v>Gestionar Riesgos</v>
          </cell>
          <cell r="O49" t="str">
            <v>DRC- Revisar Valoración de Inversiones Patrimoniales</v>
          </cell>
        </row>
        <row r="50">
          <cell r="N50" t="str">
            <v>Gestionar Auditoria</v>
          </cell>
          <cell r="O50" t="str">
            <v>Gestionar el Sistema de Gestión de Calidad de la Auditoría General</v>
          </cell>
        </row>
        <row r="51">
          <cell r="N51" t="str">
            <v>Gestionar Auditoria</v>
          </cell>
          <cell r="O51" t="str">
            <v>Planificar Auditorías</v>
          </cell>
        </row>
        <row r="52">
          <cell r="B52" t="str">
            <v>Efectivo</v>
          </cell>
          <cell r="N52" t="str">
            <v>Gestionar Auditoria</v>
          </cell>
          <cell r="O52" t="str">
            <v>Desarrollar Auditorías</v>
          </cell>
        </row>
        <row r="53">
          <cell r="B53" t="str">
            <v>Efectivo con oportunidad de mejora</v>
          </cell>
          <cell r="N53" t="str">
            <v>Gestionar Auditoria</v>
          </cell>
          <cell r="O53" t="str">
            <v>Monitorear y realizar seguimiento de recomendaciones</v>
          </cell>
        </row>
        <row r="54">
          <cell r="B54" t="str">
            <v>Inefectivo</v>
          </cell>
          <cell r="N54" t="str">
            <v>Gestionar Auditoria</v>
          </cell>
          <cell r="O54" t="str">
            <v>Asesorar a las áreas</v>
          </cell>
        </row>
        <row r="55">
          <cell r="B55" t="str">
            <v>Sin población</v>
          </cell>
          <cell r="N55" t="str">
            <v>Gestionar Soporte Jurídico</v>
          </cell>
          <cell r="O55" t="str">
            <v>Recepción de solicitudes</v>
          </cell>
        </row>
        <row r="56">
          <cell r="B56" t="str">
            <v>Sin opinión</v>
          </cell>
          <cell r="N56" t="str">
            <v>Gestionar Soporte Jurídico</v>
          </cell>
          <cell r="O56" t="str">
            <v>Asignación de casos</v>
          </cell>
        </row>
        <row r="57">
          <cell r="B57" t="str">
            <v>No aplica</v>
          </cell>
          <cell r="N57" t="str">
            <v>Gestionar Soporte Jurídico</v>
          </cell>
          <cell r="O57" t="str">
            <v>Gestión de casos</v>
          </cell>
        </row>
        <row r="58">
          <cell r="N58" t="str">
            <v>Gestionar Soporte Jurídico</v>
          </cell>
          <cell r="O58" t="str">
            <v>Solución de casos</v>
          </cell>
        </row>
        <row r="59">
          <cell r="N59" t="str">
            <v>Gestionar Medios y Contenidos Corporativos</v>
          </cell>
          <cell r="O59" t="str">
            <v>Comunicaciones Corporativas</v>
          </cell>
        </row>
        <row r="60">
          <cell r="B60" t="str">
            <v>Manual</v>
          </cell>
          <cell r="N60" t="str">
            <v>Gestionar Medios y Contenidos Corporativos</v>
          </cell>
          <cell r="O60" t="str">
            <v>Publicar ficha de operación en pagina Web de CAF</v>
          </cell>
        </row>
        <row r="61">
          <cell r="B61" t="str">
            <v>Automático</v>
          </cell>
          <cell r="N61" t="str">
            <v>Gestionar Secretaría</v>
          </cell>
          <cell r="O61" t="str">
            <v>SG - Órganos colegiados</v>
          </cell>
        </row>
        <row r="62">
          <cell r="B62" t="str">
            <v>Semi-Automático</v>
          </cell>
          <cell r="N62" t="str">
            <v>Gestionar Secretaría</v>
          </cell>
          <cell r="O62" t="str">
            <v>SG - Relaciones externas</v>
          </cell>
        </row>
        <row r="63">
          <cell r="N63" t="str">
            <v>Gestionar Secretaría</v>
          </cell>
          <cell r="O63" t="str">
            <v>SG - Inmunidades y privilegios</v>
          </cell>
        </row>
        <row r="64">
          <cell r="N64" t="str">
            <v>Gestionar Secretaría</v>
          </cell>
          <cell r="O64" t="str">
            <v>SG - Protocolo</v>
          </cell>
        </row>
        <row r="65">
          <cell r="B65" t="str">
            <v>Diario</v>
          </cell>
          <cell r="N65" t="str">
            <v>Gestionar Secretaría</v>
          </cell>
          <cell r="O65" t="str">
            <v>SG - Gestionar convenios</v>
          </cell>
        </row>
        <row r="66">
          <cell r="B66" t="str">
            <v>Semanal</v>
          </cell>
          <cell r="N66" t="str">
            <v>Gestionar Operación</v>
          </cell>
          <cell r="O66" t="str">
            <v>Control Preventivo</v>
          </cell>
        </row>
        <row r="67">
          <cell r="B67" t="str">
            <v>Bisemanal</v>
          </cell>
          <cell r="N67" t="str">
            <v>Gestionar Operación</v>
          </cell>
          <cell r="O67" t="str">
            <v>Procesar Operaciones de Captación de Recursos</v>
          </cell>
        </row>
        <row r="68">
          <cell r="B68" t="str">
            <v>Quincenal</v>
          </cell>
          <cell r="N68" t="str">
            <v>Gestionar Operación</v>
          </cell>
          <cell r="O68" t="str">
            <v>Procesar Operaciones de Crédito</v>
          </cell>
        </row>
        <row r="69">
          <cell r="B69" t="str">
            <v>Mensual</v>
          </cell>
          <cell r="N69" t="str">
            <v>Gestionar Operación</v>
          </cell>
          <cell r="O69" t="str">
            <v xml:space="preserve">Procesar Operaciones de Inversiones Patrimoniales </v>
          </cell>
        </row>
        <row r="70">
          <cell r="B70" t="str">
            <v>Bimestral</v>
          </cell>
          <cell r="N70" t="str">
            <v>Gestionar Operación</v>
          </cell>
          <cell r="O70" t="str">
            <v>Procesar Operaciones de Tesorería</v>
          </cell>
        </row>
        <row r="71">
          <cell r="B71" t="str">
            <v>Trimestral</v>
          </cell>
          <cell r="N71" t="str">
            <v>Gestionar Custodia</v>
          </cell>
          <cell r="O71" t="str">
            <v>Gestionar Custodia Corporativa de Valores CAF</v>
          </cell>
        </row>
        <row r="72">
          <cell r="B72" t="str">
            <v>Semestral</v>
          </cell>
          <cell r="N72" t="str">
            <v>Gestionar Contabilidad y Reportes Financieros</v>
          </cell>
          <cell r="O72" t="str">
            <v>Control Financiero</v>
          </cell>
        </row>
        <row r="73">
          <cell r="B73" t="str">
            <v>Anual</v>
          </cell>
          <cell r="N73" t="str">
            <v>Gestionar Contabilidad y Reportes Financieros</v>
          </cell>
          <cell r="O73" t="str">
            <v>Reporte Financiero</v>
          </cell>
        </row>
        <row r="74">
          <cell r="B74" t="str">
            <v>Bienal</v>
          </cell>
          <cell r="N74" t="str">
            <v>Gestionar Contabilidad y Reportes Financieros</v>
          </cell>
          <cell r="O74" t="str">
            <v>Otros Servicios</v>
          </cell>
        </row>
        <row r="75">
          <cell r="B75" t="str">
            <v>Cada vez que se requiera</v>
          </cell>
          <cell r="N75" t="str">
            <v>Gestionar Talento Humano</v>
          </cell>
          <cell r="O75" t="str">
            <v>DCH - Presupuesto</v>
          </cell>
        </row>
        <row r="76">
          <cell r="B76" t="str">
            <v>Muchas veces al dia</v>
          </cell>
          <cell r="N76" t="str">
            <v>Gestionar Talento Humano</v>
          </cell>
          <cell r="O76" t="str">
            <v>DCH - Plan de actividades de la dch</v>
          </cell>
        </row>
        <row r="77">
          <cell r="N77" t="str">
            <v>Gestionar Talento Humano</v>
          </cell>
          <cell r="O77" t="str">
            <v>DCH - Compensación y beneficios</v>
          </cell>
        </row>
        <row r="78">
          <cell r="N78" t="str">
            <v>Gestionar Talento Humano</v>
          </cell>
          <cell r="O78" t="str">
            <v>DCH - Análisis de plantilla de personal</v>
          </cell>
        </row>
        <row r="79">
          <cell r="B79" t="str">
            <v>Preventivo</v>
          </cell>
          <cell r="N79" t="str">
            <v>Gestionar Talento Humano</v>
          </cell>
          <cell r="O79" t="str">
            <v>DCH - Descripción de cargos</v>
          </cell>
        </row>
        <row r="80">
          <cell r="B80" t="str">
            <v>Detectivo</v>
          </cell>
          <cell r="N80" t="str">
            <v>Gestionar Talento Humano</v>
          </cell>
          <cell r="O80" t="str">
            <v>DCH - Administración de Indicadores</v>
          </cell>
        </row>
        <row r="81">
          <cell r="B81" t="str">
            <v>Correctivo</v>
          </cell>
          <cell r="N81" t="str">
            <v>Gestionar Talento Humano</v>
          </cell>
          <cell r="O81" t="str">
            <v>DCH - Contratación</v>
          </cell>
        </row>
        <row r="82">
          <cell r="N82" t="str">
            <v>Gestionar Talento Humano</v>
          </cell>
          <cell r="O82" t="str">
            <v>DCH - Ingreso de personal local e internacional</v>
          </cell>
        </row>
        <row r="83">
          <cell r="N83" t="str">
            <v>Gestionar Talento Humano</v>
          </cell>
          <cell r="O83" t="str">
            <v>DCH - Programa corporativo de inducción</v>
          </cell>
        </row>
        <row r="84">
          <cell r="N84" t="str">
            <v>Gestionar Talento Humano</v>
          </cell>
          <cell r="O84" t="str">
            <v>DCH - Traslado de personal</v>
          </cell>
        </row>
        <row r="85">
          <cell r="N85" t="str">
            <v>Gestionar Talento Humano</v>
          </cell>
          <cell r="O85" t="str">
            <v>DCH - Servicios al personal</v>
          </cell>
        </row>
        <row r="86">
          <cell r="N86" t="str">
            <v>Gestionar Talento Humano</v>
          </cell>
          <cell r="O86" t="str">
            <v>Administración de nómina</v>
          </cell>
        </row>
        <row r="87">
          <cell r="N87" t="str">
            <v>Gestionar Talento Humano</v>
          </cell>
          <cell r="O87" t="str">
            <v>Egreso de personal</v>
          </cell>
        </row>
        <row r="88">
          <cell r="N88" t="str">
            <v>Gestionar Talento Humano</v>
          </cell>
          <cell r="O88" t="str">
            <v>DCH - Realización de eventos</v>
          </cell>
        </row>
        <row r="89">
          <cell r="N89" t="str">
            <v>Gestionar Talento Humano</v>
          </cell>
          <cell r="O89" t="str">
            <v>DCH - Reclutamiento y selección</v>
          </cell>
        </row>
        <row r="90">
          <cell r="N90" t="str">
            <v>Gestionar Talento Humano</v>
          </cell>
          <cell r="O90" t="str">
            <v>DCH - Capacitación</v>
          </cell>
        </row>
        <row r="91">
          <cell r="N91" t="str">
            <v>Gestionar Talento Humano</v>
          </cell>
          <cell r="O91" t="str">
            <v>DCH - Programa corporativo de estudios</v>
          </cell>
        </row>
        <row r="92">
          <cell r="N92" t="str">
            <v>Gestionar Talento Humano</v>
          </cell>
          <cell r="O92" t="str">
            <v>DCH - Evaluación de desempeño</v>
          </cell>
        </row>
        <row r="93">
          <cell r="N93" t="str">
            <v>Gestionar Talento Humano</v>
          </cell>
          <cell r="O93" t="str">
            <v>DCH - Programa de pasantía</v>
          </cell>
        </row>
        <row r="94">
          <cell r="N94" t="str">
            <v>Gestionar Talento Humano</v>
          </cell>
          <cell r="O94" t="str">
            <v>DCH - Administración de planes de desarrollo</v>
          </cell>
        </row>
        <row r="95">
          <cell r="N95" t="str">
            <v>Gestionar Talento Humano</v>
          </cell>
          <cell r="O95" t="str">
            <v>DCH - Gestión del cambio y comunicaciones</v>
          </cell>
        </row>
        <row r="96">
          <cell r="N96" t="str">
            <v>Gestionar Talento Humano</v>
          </cell>
          <cell r="O96" t="str">
            <v>DCH - Encuestas de compromiso</v>
          </cell>
        </row>
        <row r="97">
          <cell r="N97" t="str">
            <v>Gestionar Logística y Administración</v>
          </cell>
          <cell r="O97" t="str">
            <v>Atención integral de requerimientos (CIA)</v>
          </cell>
        </row>
        <row r="98">
          <cell r="N98" t="str">
            <v>Gestionar Logística y Administración</v>
          </cell>
          <cell r="O98" t="str">
            <v>Selección, adquisición y contratación de bienes, servicios, consultorías y obras</v>
          </cell>
        </row>
        <row r="99">
          <cell r="N99" t="str">
            <v>Gestionar Logística y Administración</v>
          </cell>
          <cell r="O99" t="str">
            <v>Gestión de viajes oficiales</v>
          </cell>
        </row>
        <row r="100">
          <cell r="N100" t="str">
            <v>Gestionar Logística y Administración</v>
          </cell>
          <cell r="O100" t="str">
            <v>Eventos y reuniones</v>
          </cell>
        </row>
        <row r="101">
          <cell r="N101" t="str">
            <v>Gestionar Logística y Administración</v>
          </cell>
          <cell r="O101" t="str">
            <v>Servicio de mensajería</v>
          </cell>
        </row>
        <row r="102">
          <cell r="N102" t="str">
            <v>Gestionar Logística y Administración</v>
          </cell>
          <cell r="O102" t="str">
            <v>Activos Fijos y Obras de Arte</v>
          </cell>
        </row>
        <row r="103">
          <cell r="N103" t="str">
            <v>Gestionar Logística y Administración</v>
          </cell>
          <cell r="O103" t="str">
            <v>Pagos</v>
          </cell>
        </row>
        <row r="104">
          <cell r="N104" t="str">
            <v>Gestionar Logística y Administración</v>
          </cell>
          <cell r="O104" t="str">
            <v>Seguridad y control de acceso</v>
          </cell>
        </row>
        <row r="105">
          <cell r="N105" t="str">
            <v>Gestionar Procesos</v>
          </cell>
          <cell r="O105" t="str">
            <v>Gestionar necesidades</v>
          </cell>
        </row>
        <row r="106">
          <cell r="N106" t="str">
            <v>Gestionar Procesos</v>
          </cell>
          <cell r="O106" t="str">
            <v>Modelar procesos</v>
          </cell>
        </row>
        <row r="107">
          <cell r="N107" t="str">
            <v>Gestionar Procesos</v>
          </cell>
          <cell r="O107" t="str">
            <v>Optimizar procesos</v>
          </cell>
        </row>
        <row r="108">
          <cell r="N108" t="str">
            <v>Gestionar Procesos</v>
          </cell>
          <cell r="O108" t="str">
            <v>Gestionar la información de los procesos</v>
          </cell>
        </row>
        <row r="109">
          <cell r="N109" t="str">
            <v>Gestionar Procesos</v>
          </cell>
          <cell r="O109" t="str">
            <v>Gestionar normativa CAF</v>
          </cell>
        </row>
        <row r="110">
          <cell r="N110" t="str">
            <v>Gestionar Procesos</v>
          </cell>
          <cell r="O110" t="str">
            <v>Promover la cultura de gestión de procesos</v>
          </cell>
        </row>
        <row r="111">
          <cell r="N111" t="str">
            <v>Gestionar Arquitectura TI</v>
          </cell>
          <cell r="O111" t="str">
            <v>Gestionar arquitecturas de referencia</v>
          </cell>
        </row>
        <row r="112">
          <cell r="N112" t="str">
            <v>Gestionar Arquitectura TI</v>
          </cell>
          <cell r="O112" t="str">
            <v>Gestionar diseño de soluciones</v>
          </cell>
        </row>
        <row r="113">
          <cell r="N113" t="str">
            <v>Gestionar Arquitectura TI</v>
          </cell>
          <cell r="O113" t="str">
            <v>Gestionar gobierno y cumplimiento de la arquitectura</v>
          </cell>
        </row>
        <row r="114">
          <cell r="N114" t="str">
            <v>Gestionar Arquitectura TI</v>
          </cell>
          <cell r="O114" t="str">
            <v>Gestionar plan estratégico de tecnología</v>
          </cell>
        </row>
        <row r="115">
          <cell r="N115" t="str">
            <v>Gestionar Arquitectura TI</v>
          </cell>
          <cell r="O115" t="str">
            <v>Gestionar nuevas estrategias tecnológicas</v>
          </cell>
        </row>
        <row r="116">
          <cell r="N116" t="str">
            <v>Gestionar Proyectos TI</v>
          </cell>
          <cell r="O116" t="str">
            <v>Fase Inicio</v>
          </cell>
        </row>
        <row r="117">
          <cell r="N117" t="str">
            <v>Gestionar Proyectos TI</v>
          </cell>
          <cell r="O117" t="str">
            <v>Fase Planificación</v>
          </cell>
        </row>
        <row r="118">
          <cell r="N118" t="str">
            <v>Gestionar Proyectos TI</v>
          </cell>
          <cell r="O118" t="str">
            <v>Fase ejecución</v>
          </cell>
        </row>
        <row r="119">
          <cell r="N119" t="str">
            <v>Gestionar Proyectos TI</v>
          </cell>
          <cell r="O119" t="str">
            <v>Cancelación de proyecto</v>
          </cell>
        </row>
        <row r="120">
          <cell r="N120" t="str">
            <v>Gestionar Proyectos TI</v>
          </cell>
          <cell r="O120" t="str">
            <v>Fase cierre</v>
          </cell>
        </row>
        <row r="121">
          <cell r="N121" t="str">
            <v>Gestionar TI</v>
          </cell>
          <cell r="O121" t="str">
            <v xml:space="preserve">Gestión de Accesos Bloomberg AIM </v>
          </cell>
        </row>
        <row r="122">
          <cell r="N122" t="str">
            <v>Gestionar TI</v>
          </cell>
          <cell r="O122" t="str">
            <v>Gestionar Accesos a las aplicaciones de Negocio y Servicios Bancarios Internacionales</v>
          </cell>
        </row>
        <row r="123">
          <cell r="N123" t="str">
            <v>Gestionar TI</v>
          </cell>
          <cell r="O123" t="str">
            <v>Gestionar Accesos Lógicos a la Plataforma Tecnológica</v>
          </cell>
        </row>
        <row r="124">
          <cell r="N124" t="str">
            <v>Gestionar TI</v>
          </cell>
          <cell r="O124" t="str">
            <v>Gestionar Cambios</v>
          </cell>
        </row>
        <row r="125">
          <cell r="N125" t="str">
            <v>Gestionar TI</v>
          </cell>
          <cell r="O125" t="str">
            <v>Gestionar Incidentes</v>
          </cell>
        </row>
        <row r="126">
          <cell r="N126" t="str">
            <v>Gestionar TI</v>
          </cell>
          <cell r="O126" t="str">
            <v>Gestionar la Capacidad</v>
          </cell>
        </row>
        <row r="127">
          <cell r="N127" t="str">
            <v>Gestionar TI</v>
          </cell>
          <cell r="O127" t="str">
            <v>Gestionar la Configuración</v>
          </cell>
        </row>
        <row r="128">
          <cell r="N128" t="str">
            <v>Gestionar TI</v>
          </cell>
          <cell r="O128" t="str">
            <v>Gestionar la Continuidad</v>
          </cell>
        </row>
        <row r="129">
          <cell r="N129" t="str">
            <v>Gestionar TI</v>
          </cell>
          <cell r="O129" t="str">
            <v>Gestionar la Disponibilidad</v>
          </cell>
        </row>
        <row r="130">
          <cell r="N130" t="str">
            <v>Gestionar TI</v>
          </cell>
          <cell r="O130" t="str">
            <v>Gestionar Operaciones de TI</v>
          </cell>
        </row>
        <row r="131">
          <cell r="N131" t="str">
            <v>Gestionar TI</v>
          </cell>
          <cell r="O131" t="str">
            <v>Gestionar Problemas</v>
          </cell>
        </row>
        <row r="132">
          <cell r="N132" t="str">
            <v>Gestionar TI</v>
          </cell>
          <cell r="O132" t="str">
            <v>Gestionar Proveedores de TI</v>
          </cell>
        </row>
        <row r="133">
          <cell r="N133" t="str">
            <v>Gestionar TI</v>
          </cell>
          <cell r="O133" t="str">
            <v>Gestionar Requerimientos de Informática</v>
          </cell>
        </row>
        <row r="134">
          <cell r="N134" t="str">
            <v>Gestionar TI</v>
          </cell>
          <cell r="O134" t="str">
            <v>Ingeniería de Soluciones</v>
          </cell>
        </row>
      </sheetData>
      <sheetData sheetId="9"/>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U27"/>
  <sheetViews>
    <sheetView workbookViewId="0"/>
  </sheetViews>
  <sheetFormatPr baseColWidth="10" defaultColWidth="8.6328125" defaultRowHeight="15.5" x14ac:dyDescent="0.35"/>
  <cols>
    <col min="1" max="1" width="8.6328125" style="6"/>
    <col min="2" max="2" width="43.6328125" style="6" customWidth="1"/>
    <col min="3" max="3" width="26.453125" style="6" customWidth="1"/>
    <col min="4" max="4" width="101.6328125" style="6" customWidth="1"/>
    <col min="5" max="5" width="20.453125" style="6" customWidth="1"/>
    <col min="6" max="7" width="60.6328125" style="6" customWidth="1"/>
    <col min="8" max="8" width="16.54296875" customWidth="1"/>
    <col min="9" max="9" width="61" style="6" customWidth="1"/>
    <col min="10" max="10" width="74.54296875" style="6" customWidth="1"/>
    <col min="11" max="11" width="14" style="6" customWidth="1"/>
    <col min="12" max="12" width="16" style="6" customWidth="1"/>
    <col min="13" max="13" width="16.6328125" style="6" customWidth="1"/>
    <col min="14" max="14" width="11.453125" style="6" customWidth="1"/>
    <col min="15" max="16" width="14.36328125" style="6" customWidth="1"/>
    <col min="17" max="27" width="18.54296875" style="6" customWidth="1"/>
    <col min="28" max="29" width="21.36328125" style="6" customWidth="1"/>
    <col min="30" max="31" width="17.54296875" style="6" customWidth="1"/>
    <col min="32" max="33" width="17.6328125" style="6" customWidth="1"/>
    <col min="34" max="34" width="12.6328125" style="6" customWidth="1"/>
    <col min="35" max="37" width="25.6328125" style="6" customWidth="1"/>
    <col min="38" max="38" width="12.6328125" style="6" customWidth="1"/>
    <col min="39" max="41" width="25.6328125" style="6" customWidth="1"/>
    <col min="42" max="42" width="12.6328125" style="6" customWidth="1"/>
    <col min="43" max="45" width="25.6328125" style="6" customWidth="1"/>
    <col min="46" max="46" width="18.6328125" style="6" customWidth="1"/>
    <col min="47" max="47" width="40.6328125" style="6" customWidth="1"/>
    <col min="48" max="16384" width="8.6328125" style="6"/>
  </cols>
  <sheetData>
    <row r="1" spans="2:47" x14ac:dyDescent="0.35">
      <c r="K1" s="6" t="s">
        <v>74</v>
      </c>
    </row>
    <row r="2" spans="2:47" ht="20" x14ac:dyDescent="0.4">
      <c r="L2" s="120" t="s">
        <v>70</v>
      </c>
      <c r="M2" s="120"/>
      <c r="N2" s="120"/>
      <c r="O2" s="120"/>
      <c r="P2" s="120"/>
      <c r="Q2" s="27" t="s">
        <v>69</v>
      </c>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row>
    <row r="3" spans="2:47" ht="72" customHeight="1" x14ac:dyDescent="0.35">
      <c r="B3" s="4"/>
      <c r="C3" s="4"/>
      <c r="D3" s="4"/>
      <c r="E3" s="24"/>
      <c r="F3" s="24"/>
      <c r="G3" s="24"/>
      <c r="H3" s="25"/>
      <c r="I3" s="25"/>
      <c r="J3" s="24"/>
      <c r="K3" s="25"/>
      <c r="L3" s="121" t="s">
        <v>0</v>
      </c>
      <c r="M3" s="122"/>
      <c r="N3" s="123" t="s">
        <v>3</v>
      </c>
      <c r="O3" s="124"/>
      <c r="P3" s="124"/>
      <c r="Q3" s="113" t="s">
        <v>7</v>
      </c>
      <c r="R3" s="113"/>
      <c r="S3" s="113"/>
      <c r="T3" s="113" t="s">
        <v>11</v>
      </c>
      <c r="U3" s="113"/>
      <c r="V3" s="113"/>
      <c r="W3" s="113"/>
      <c r="X3" s="113"/>
      <c r="Y3" s="113" t="s">
        <v>17</v>
      </c>
      <c r="Z3" s="113"/>
      <c r="AA3" s="114"/>
      <c r="AB3" s="115" t="s">
        <v>21</v>
      </c>
      <c r="AC3" s="115"/>
      <c r="AD3" s="115"/>
      <c r="AE3" s="115"/>
      <c r="AF3" s="116"/>
      <c r="AG3" s="5"/>
      <c r="AH3" s="117" t="s">
        <v>28</v>
      </c>
      <c r="AI3" s="118"/>
      <c r="AJ3" s="118"/>
      <c r="AK3" s="118"/>
      <c r="AL3" s="118"/>
      <c r="AM3" s="118"/>
      <c r="AN3" s="118"/>
      <c r="AO3" s="118"/>
      <c r="AP3" s="118"/>
      <c r="AQ3" s="118"/>
      <c r="AR3" s="118"/>
      <c r="AS3" s="118"/>
      <c r="AT3" s="119" t="s">
        <v>36</v>
      </c>
      <c r="AU3" s="119"/>
    </row>
    <row r="4" spans="2:47" ht="80.75" customHeight="1" x14ac:dyDescent="0.35">
      <c r="B4" s="36" t="s">
        <v>53</v>
      </c>
      <c r="C4" s="36" t="s">
        <v>52</v>
      </c>
      <c r="D4" s="36" t="s">
        <v>73</v>
      </c>
      <c r="E4" s="36" t="s">
        <v>50</v>
      </c>
      <c r="F4" s="36" t="s">
        <v>79</v>
      </c>
      <c r="G4" s="36" t="s">
        <v>78</v>
      </c>
      <c r="H4" s="37" t="s">
        <v>59</v>
      </c>
      <c r="I4" s="38" t="s">
        <v>62</v>
      </c>
      <c r="J4" s="38" t="s">
        <v>63</v>
      </c>
      <c r="K4" s="8" t="s">
        <v>58</v>
      </c>
      <c r="L4" s="7" t="s">
        <v>1</v>
      </c>
      <c r="M4" s="7" t="s">
        <v>2</v>
      </c>
      <c r="N4" s="8" t="s">
        <v>4</v>
      </c>
      <c r="O4" s="7" t="s">
        <v>5</v>
      </c>
      <c r="P4" s="7" t="s">
        <v>6</v>
      </c>
      <c r="Q4" s="9" t="s">
        <v>8</v>
      </c>
      <c r="R4" s="10" t="s">
        <v>9</v>
      </c>
      <c r="S4" s="10" t="s">
        <v>10</v>
      </c>
      <c r="T4" s="10" t="s">
        <v>12</v>
      </c>
      <c r="U4" s="10" t="s">
        <v>13</v>
      </c>
      <c r="V4" s="10" t="s">
        <v>14</v>
      </c>
      <c r="W4" s="10" t="s">
        <v>15</v>
      </c>
      <c r="X4" s="10" t="s">
        <v>16</v>
      </c>
      <c r="Y4" s="10" t="s">
        <v>18</v>
      </c>
      <c r="Z4" s="9" t="s">
        <v>19</v>
      </c>
      <c r="AA4" s="10" t="s">
        <v>20</v>
      </c>
      <c r="AB4" s="11" t="s">
        <v>22</v>
      </c>
      <c r="AC4" s="11" t="s">
        <v>23</v>
      </c>
      <c r="AD4" s="12" t="s">
        <v>24</v>
      </c>
      <c r="AE4" s="11" t="s">
        <v>25</v>
      </c>
      <c r="AF4" s="12" t="s">
        <v>26</v>
      </c>
      <c r="AG4" s="11" t="s">
        <v>27</v>
      </c>
      <c r="AH4" s="13" t="s">
        <v>29</v>
      </c>
      <c r="AI4" s="13" t="s">
        <v>30</v>
      </c>
      <c r="AJ4" s="13" t="s">
        <v>31</v>
      </c>
      <c r="AK4" s="13" t="s">
        <v>32</v>
      </c>
      <c r="AL4" s="14" t="s">
        <v>24</v>
      </c>
      <c r="AM4" s="14" t="s">
        <v>30</v>
      </c>
      <c r="AN4" s="14" t="s">
        <v>31</v>
      </c>
      <c r="AO4" s="14" t="s">
        <v>33</v>
      </c>
      <c r="AP4" s="13" t="s">
        <v>34</v>
      </c>
      <c r="AQ4" s="13" t="s">
        <v>30</v>
      </c>
      <c r="AR4" s="13" t="s">
        <v>31</v>
      </c>
      <c r="AS4" s="13" t="s">
        <v>35</v>
      </c>
      <c r="AT4" s="15" t="s">
        <v>37</v>
      </c>
      <c r="AU4" s="15" t="s">
        <v>38</v>
      </c>
    </row>
    <row r="5" spans="2:47" s="18" customFormat="1" ht="231" customHeight="1" x14ac:dyDescent="0.35">
      <c r="B5" s="39" t="s">
        <v>39</v>
      </c>
      <c r="C5" s="39" t="s">
        <v>49</v>
      </c>
      <c r="D5" s="39" t="s">
        <v>54</v>
      </c>
      <c r="E5" s="39" t="s">
        <v>56</v>
      </c>
      <c r="F5" s="39"/>
      <c r="G5" s="39"/>
      <c r="H5" s="39" t="s">
        <v>60</v>
      </c>
      <c r="I5" s="39" t="s">
        <v>57</v>
      </c>
      <c r="J5" s="39" t="s">
        <v>82</v>
      </c>
      <c r="K5" s="40"/>
      <c r="L5" s="41"/>
      <c r="M5" s="41" t="s">
        <v>75</v>
      </c>
      <c r="N5" s="42" t="s">
        <v>76</v>
      </c>
      <c r="O5" s="42" t="s">
        <v>77</v>
      </c>
      <c r="P5" s="43" t="s">
        <v>71</v>
      </c>
      <c r="Q5" s="44"/>
      <c r="R5" s="44"/>
      <c r="S5" s="44"/>
      <c r="T5" s="44"/>
      <c r="U5" s="44"/>
      <c r="V5" s="44"/>
      <c r="W5" s="44"/>
      <c r="X5" s="16"/>
      <c r="Y5" s="17"/>
      <c r="Z5" s="17"/>
      <c r="AA5" s="17"/>
      <c r="AB5" s="3"/>
      <c r="AC5" s="3"/>
      <c r="AD5" s="3"/>
      <c r="AE5" s="3"/>
      <c r="AF5" s="3"/>
      <c r="AG5" s="3"/>
      <c r="AH5" s="1"/>
      <c r="AI5" s="1"/>
      <c r="AJ5" s="1"/>
      <c r="AK5" s="1"/>
      <c r="AL5" s="1"/>
      <c r="AM5" s="1"/>
      <c r="AN5" s="1"/>
      <c r="AO5" s="1"/>
      <c r="AP5" s="1"/>
      <c r="AQ5" s="1"/>
      <c r="AR5" s="1"/>
      <c r="AS5" s="1"/>
      <c r="AT5" s="17"/>
      <c r="AU5" s="17"/>
    </row>
    <row r="6" spans="2:47" s="18" customFormat="1" ht="402.5" x14ac:dyDescent="0.35">
      <c r="B6" s="39" t="s">
        <v>40</v>
      </c>
      <c r="C6" s="39" t="s">
        <v>84</v>
      </c>
      <c r="D6" s="45" t="s">
        <v>90</v>
      </c>
      <c r="E6" s="39" t="s">
        <v>83</v>
      </c>
      <c r="F6" s="39"/>
      <c r="G6" s="39"/>
      <c r="H6" s="46" t="s">
        <v>85</v>
      </c>
      <c r="I6" s="39" t="s">
        <v>57</v>
      </c>
      <c r="J6" s="39" t="s">
        <v>89</v>
      </c>
      <c r="K6" s="40"/>
      <c r="L6" s="47"/>
      <c r="M6" s="41" t="s">
        <v>75</v>
      </c>
      <c r="N6" s="42" t="s">
        <v>76</v>
      </c>
      <c r="O6" s="42" t="s">
        <v>77</v>
      </c>
      <c r="P6" s="43" t="s">
        <v>71</v>
      </c>
      <c r="Q6" s="44"/>
      <c r="R6" s="44"/>
      <c r="S6" s="44"/>
      <c r="T6" s="44"/>
      <c r="U6" s="44"/>
      <c r="V6" s="44"/>
      <c r="W6" s="44"/>
      <c r="X6" s="16"/>
      <c r="Y6" s="17"/>
      <c r="Z6" s="17"/>
      <c r="AA6" s="17"/>
      <c r="AB6" s="3"/>
      <c r="AC6" s="3"/>
      <c r="AD6" s="3"/>
      <c r="AE6" s="3"/>
      <c r="AF6" s="3"/>
      <c r="AG6" s="3"/>
      <c r="AH6" s="1"/>
      <c r="AI6" s="1"/>
      <c r="AJ6" s="1"/>
      <c r="AK6" s="1"/>
      <c r="AL6" s="1"/>
      <c r="AM6" s="1"/>
      <c r="AN6" s="1"/>
      <c r="AO6" s="1"/>
      <c r="AP6" s="1"/>
      <c r="AQ6" s="1"/>
      <c r="AR6" s="1"/>
      <c r="AS6" s="1"/>
      <c r="AT6" s="17"/>
      <c r="AU6" s="17"/>
    </row>
    <row r="7" spans="2:47" s="18" customFormat="1" ht="259.5" customHeight="1" x14ac:dyDescent="0.35">
      <c r="B7" s="39" t="s">
        <v>41</v>
      </c>
      <c r="C7" s="39" t="s">
        <v>91</v>
      </c>
      <c r="D7" s="45" t="s">
        <v>92</v>
      </c>
      <c r="E7" s="39" t="s">
        <v>109</v>
      </c>
      <c r="F7" s="39"/>
      <c r="G7" s="39"/>
      <c r="H7" s="46" t="s">
        <v>86</v>
      </c>
      <c r="I7" s="39" t="s">
        <v>94</v>
      </c>
      <c r="J7" s="39" t="s">
        <v>150</v>
      </c>
      <c r="K7" s="40"/>
      <c r="L7" s="47"/>
      <c r="M7" s="41" t="s">
        <v>75</v>
      </c>
      <c r="N7" s="42" t="s">
        <v>76</v>
      </c>
      <c r="O7" s="42" t="s">
        <v>77</v>
      </c>
      <c r="P7" s="43" t="s">
        <v>71</v>
      </c>
      <c r="Q7" s="44"/>
      <c r="R7" s="44"/>
      <c r="S7" s="44"/>
      <c r="T7" s="44"/>
      <c r="U7" s="44"/>
      <c r="V7" s="44"/>
      <c r="W7" s="44"/>
      <c r="X7" s="16"/>
      <c r="Y7" s="17"/>
      <c r="Z7" s="17"/>
      <c r="AA7" s="17"/>
      <c r="AB7" s="3"/>
      <c r="AC7" s="3"/>
      <c r="AD7" s="3"/>
      <c r="AE7" s="3"/>
      <c r="AF7" s="3"/>
      <c r="AG7" s="3"/>
      <c r="AH7" s="1"/>
      <c r="AI7" s="1"/>
      <c r="AJ7" s="1"/>
      <c r="AK7" s="1"/>
      <c r="AL7" s="1"/>
      <c r="AM7" s="1"/>
      <c r="AN7" s="1"/>
      <c r="AO7" s="1"/>
      <c r="AP7" s="1"/>
      <c r="AQ7" s="1"/>
      <c r="AR7" s="1"/>
      <c r="AS7" s="1"/>
      <c r="AT7" s="17"/>
      <c r="AU7" s="17"/>
    </row>
    <row r="8" spans="2:47" s="18" customFormat="1" ht="409.5" x14ac:dyDescent="0.35">
      <c r="B8" s="39" t="s">
        <v>42</v>
      </c>
      <c r="C8" s="39" t="s">
        <v>96</v>
      </c>
      <c r="D8" s="45" t="s">
        <v>154</v>
      </c>
      <c r="E8" s="39" t="s">
        <v>110</v>
      </c>
      <c r="F8" s="39"/>
      <c r="G8" s="39"/>
      <c r="H8" s="39" t="s">
        <v>87</v>
      </c>
      <c r="I8" s="39" t="s">
        <v>95</v>
      </c>
      <c r="J8" s="39" t="s">
        <v>144</v>
      </c>
      <c r="K8" s="40"/>
      <c r="L8" s="47"/>
      <c r="M8" s="41" t="s">
        <v>75</v>
      </c>
      <c r="N8" s="42" t="s">
        <v>76</v>
      </c>
      <c r="O8" s="42" t="s">
        <v>77</v>
      </c>
      <c r="P8" s="43" t="s">
        <v>71</v>
      </c>
      <c r="Q8" s="44"/>
      <c r="R8" s="44"/>
      <c r="S8" s="44"/>
      <c r="T8" s="44"/>
      <c r="U8" s="44"/>
      <c r="V8" s="44"/>
      <c r="W8" s="44"/>
      <c r="X8" s="16"/>
      <c r="Y8" s="17"/>
      <c r="Z8" s="17"/>
      <c r="AA8" s="17"/>
      <c r="AB8" s="3"/>
      <c r="AC8" s="3"/>
      <c r="AD8" s="3"/>
      <c r="AE8" s="3"/>
      <c r="AF8" s="3"/>
      <c r="AG8" s="3"/>
      <c r="AH8" s="1"/>
      <c r="AI8" s="1"/>
      <c r="AJ8" s="1"/>
      <c r="AK8" s="1"/>
      <c r="AL8" s="1"/>
      <c r="AM8" s="1"/>
      <c r="AN8" s="1"/>
      <c r="AO8" s="1"/>
      <c r="AP8" s="1"/>
      <c r="AQ8" s="1"/>
      <c r="AR8" s="1"/>
      <c r="AS8" s="1"/>
      <c r="AT8" s="17"/>
      <c r="AU8" s="17"/>
    </row>
    <row r="9" spans="2:47" s="18" customFormat="1" ht="409.5" x14ac:dyDescent="0.35">
      <c r="B9" s="39" t="s">
        <v>43</v>
      </c>
      <c r="C9" s="39" t="s">
        <v>99</v>
      </c>
      <c r="D9" s="45" t="s">
        <v>105</v>
      </c>
      <c r="E9" s="39" t="s">
        <v>111</v>
      </c>
      <c r="F9" s="39"/>
      <c r="G9" s="39"/>
      <c r="H9" s="46" t="s">
        <v>88</v>
      </c>
      <c r="I9" s="48" t="s">
        <v>98</v>
      </c>
      <c r="J9" s="39" t="s">
        <v>151</v>
      </c>
      <c r="K9" s="40"/>
      <c r="L9" s="47"/>
      <c r="M9" s="41" t="s">
        <v>75</v>
      </c>
      <c r="N9" s="42" t="s">
        <v>76</v>
      </c>
      <c r="O9" s="42" t="s">
        <v>77</v>
      </c>
      <c r="P9" s="43" t="s">
        <v>118</v>
      </c>
      <c r="Q9" s="44"/>
      <c r="R9" s="44"/>
      <c r="S9" s="44"/>
      <c r="T9" s="44"/>
      <c r="U9" s="44"/>
      <c r="V9" s="44"/>
      <c r="W9" s="44"/>
      <c r="X9" s="16"/>
      <c r="Y9" s="17"/>
      <c r="Z9" s="17"/>
      <c r="AA9" s="17"/>
      <c r="AB9" s="3"/>
      <c r="AC9" s="3"/>
      <c r="AD9" s="3"/>
      <c r="AE9" s="3"/>
      <c r="AF9" s="3"/>
      <c r="AG9" s="3"/>
      <c r="AH9" s="1"/>
      <c r="AI9" s="1"/>
      <c r="AJ9" s="1"/>
      <c r="AK9" s="1"/>
      <c r="AL9" s="1"/>
      <c r="AM9" s="1"/>
      <c r="AN9" s="1"/>
      <c r="AO9" s="1"/>
      <c r="AP9" s="1"/>
      <c r="AQ9" s="1"/>
      <c r="AR9" s="1"/>
      <c r="AS9" s="1"/>
      <c r="AT9" s="17"/>
      <c r="AU9" s="17"/>
    </row>
    <row r="10" spans="2:47" s="18" customFormat="1" ht="409.5" x14ac:dyDescent="0.35">
      <c r="B10" s="39" t="s">
        <v>44</v>
      </c>
      <c r="C10" s="52" t="s">
        <v>121</v>
      </c>
      <c r="D10" s="45" t="s">
        <v>155</v>
      </c>
      <c r="E10" s="39" t="s">
        <v>112</v>
      </c>
      <c r="F10" s="39"/>
      <c r="G10" s="39"/>
      <c r="H10" s="46" t="s">
        <v>93</v>
      </c>
      <c r="I10" s="39"/>
      <c r="J10" s="39" t="s">
        <v>145</v>
      </c>
      <c r="K10" s="40"/>
      <c r="L10" s="47"/>
      <c r="M10" s="41" t="s">
        <v>75</v>
      </c>
      <c r="N10" s="42" t="s">
        <v>76</v>
      </c>
      <c r="O10" s="42" t="s">
        <v>77</v>
      </c>
      <c r="P10" s="43" t="s">
        <v>71</v>
      </c>
      <c r="Q10" s="44"/>
      <c r="R10" s="44"/>
      <c r="S10" s="44"/>
      <c r="T10" s="44"/>
      <c r="U10" s="44"/>
      <c r="V10" s="44"/>
      <c r="W10" s="44"/>
      <c r="X10" s="16"/>
      <c r="Y10" s="17"/>
      <c r="Z10" s="17"/>
      <c r="AA10" s="17"/>
      <c r="AB10" s="3"/>
      <c r="AC10" s="3"/>
      <c r="AD10" s="3"/>
      <c r="AE10" s="3"/>
      <c r="AF10" s="3"/>
      <c r="AG10" s="3"/>
      <c r="AH10" s="1"/>
      <c r="AI10" s="1"/>
      <c r="AJ10" s="1"/>
      <c r="AK10" s="1"/>
      <c r="AL10" s="1"/>
      <c r="AM10" s="1"/>
      <c r="AN10" s="1"/>
      <c r="AO10" s="1"/>
      <c r="AP10" s="1"/>
      <c r="AQ10" s="1"/>
      <c r="AR10" s="1"/>
      <c r="AS10" s="1"/>
      <c r="AT10" s="17"/>
      <c r="AU10" s="17"/>
    </row>
    <row r="11" spans="2:47" s="18" customFormat="1" ht="409.5" x14ac:dyDescent="0.35">
      <c r="B11" s="39" t="s">
        <v>44</v>
      </c>
      <c r="C11" s="39" t="s">
        <v>122</v>
      </c>
      <c r="D11" s="45" t="s">
        <v>139</v>
      </c>
      <c r="E11" s="39" t="s">
        <v>114</v>
      </c>
      <c r="F11" s="39"/>
      <c r="G11" s="39"/>
      <c r="H11" s="39" t="s">
        <v>102</v>
      </c>
      <c r="I11" s="39"/>
      <c r="J11" s="39" t="s">
        <v>152</v>
      </c>
      <c r="K11" s="40"/>
      <c r="L11" s="47"/>
      <c r="M11" s="41"/>
      <c r="N11" s="42"/>
      <c r="O11" s="42"/>
      <c r="P11" s="43"/>
      <c r="Q11" s="44"/>
      <c r="R11" s="44"/>
      <c r="S11" s="44"/>
      <c r="T11" s="44"/>
      <c r="U11" s="44"/>
      <c r="V11" s="44"/>
      <c r="W11" s="44"/>
      <c r="X11" s="16"/>
      <c r="Y11" s="17"/>
      <c r="Z11" s="17"/>
      <c r="AA11" s="17"/>
      <c r="AB11" s="3"/>
      <c r="AC11" s="3"/>
      <c r="AD11" s="3"/>
      <c r="AE11" s="3"/>
      <c r="AF11" s="3"/>
      <c r="AG11" s="3"/>
      <c r="AH11" s="1"/>
      <c r="AI11" s="1"/>
      <c r="AJ11" s="1"/>
      <c r="AK11" s="1"/>
      <c r="AL11" s="1"/>
      <c r="AM11" s="1"/>
      <c r="AN11" s="1"/>
      <c r="AO11" s="1"/>
      <c r="AP11" s="1"/>
      <c r="AQ11" s="1"/>
      <c r="AR11" s="1"/>
      <c r="AS11" s="1"/>
      <c r="AT11" s="17"/>
      <c r="AU11" s="17"/>
    </row>
    <row r="12" spans="2:47" s="18" customFormat="1" ht="409.5" x14ac:dyDescent="0.35">
      <c r="B12" s="39" t="s">
        <v>44</v>
      </c>
      <c r="C12" s="39" t="s">
        <v>123</v>
      </c>
      <c r="D12" s="45" t="s">
        <v>140</v>
      </c>
      <c r="E12" s="39" t="s">
        <v>115</v>
      </c>
      <c r="F12" s="39"/>
      <c r="G12" s="39"/>
      <c r="H12" s="46" t="s">
        <v>131</v>
      </c>
      <c r="I12" s="39"/>
      <c r="J12" s="39" t="s">
        <v>146</v>
      </c>
      <c r="K12" s="40"/>
      <c r="L12" s="47"/>
      <c r="M12" s="41"/>
      <c r="N12" s="42"/>
      <c r="O12" s="42"/>
      <c r="P12" s="43"/>
      <c r="Q12" s="44"/>
      <c r="R12" s="44"/>
      <c r="S12" s="44"/>
      <c r="T12" s="44"/>
      <c r="U12" s="44"/>
      <c r="V12" s="44"/>
      <c r="W12" s="44"/>
      <c r="X12" s="16"/>
      <c r="Y12" s="17"/>
      <c r="Z12" s="17"/>
      <c r="AA12" s="17"/>
      <c r="AB12" s="3"/>
      <c r="AC12" s="3"/>
      <c r="AD12" s="3"/>
      <c r="AE12" s="3"/>
      <c r="AF12" s="3"/>
      <c r="AG12" s="3"/>
      <c r="AH12" s="1"/>
      <c r="AI12" s="1"/>
      <c r="AJ12" s="1"/>
      <c r="AK12" s="1"/>
      <c r="AL12" s="1"/>
      <c r="AM12" s="1"/>
      <c r="AN12" s="1"/>
      <c r="AO12" s="1"/>
      <c r="AP12" s="1"/>
      <c r="AQ12" s="1"/>
      <c r="AR12" s="1"/>
      <c r="AS12" s="1"/>
      <c r="AT12" s="17"/>
      <c r="AU12" s="17"/>
    </row>
    <row r="13" spans="2:47" s="18" customFormat="1" ht="409.5" x14ac:dyDescent="0.35">
      <c r="B13" s="39" t="s">
        <v>44</v>
      </c>
      <c r="C13" s="39" t="s">
        <v>124</v>
      </c>
      <c r="D13" s="45" t="s">
        <v>175</v>
      </c>
      <c r="E13" s="39" t="s">
        <v>116</v>
      </c>
      <c r="F13" s="39"/>
      <c r="G13" s="39"/>
      <c r="H13" s="46" t="s">
        <v>132</v>
      </c>
      <c r="I13" s="39"/>
      <c r="J13" s="39" t="s">
        <v>147</v>
      </c>
      <c r="K13" s="40"/>
      <c r="L13" s="47"/>
      <c r="M13" s="41"/>
      <c r="N13" s="42"/>
      <c r="O13" s="42"/>
      <c r="P13" s="43"/>
      <c r="Q13" s="44"/>
      <c r="R13" s="44"/>
      <c r="S13" s="44"/>
      <c r="T13" s="44"/>
      <c r="U13" s="44"/>
      <c r="V13" s="44"/>
      <c r="W13" s="44"/>
      <c r="X13" s="16"/>
      <c r="Y13" s="17"/>
      <c r="Z13" s="17"/>
      <c r="AA13" s="17"/>
      <c r="AB13" s="3"/>
      <c r="AC13" s="3"/>
      <c r="AD13" s="3"/>
      <c r="AE13" s="3"/>
      <c r="AF13" s="3"/>
      <c r="AG13" s="3"/>
      <c r="AH13" s="1"/>
      <c r="AI13" s="1"/>
      <c r="AJ13" s="1"/>
      <c r="AK13" s="1"/>
      <c r="AL13" s="1"/>
      <c r="AM13" s="1"/>
      <c r="AN13" s="1"/>
      <c r="AO13" s="1"/>
      <c r="AP13" s="1"/>
      <c r="AQ13" s="1"/>
      <c r="AR13" s="1"/>
      <c r="AS13" s="1"/>
      <c r="AT13" s="17"/>
      <c r="AU13" s="17"/>
    </row>
    <row r="14" spans="2:47" s="18" customFormat="1" ht="409.5" x14ac:dyDescent="0.35">
      <c r="B14" s="39" t="s">
        <v>44</v>
      </c>
      <c r="C14" s="39" t="s">
        <v>125</v>
      </c>
      <c r="D14" s="45" t="s">
        <v>142</v>
      </c>
      <c r="E14" s="39" t="s">
        <v>127</v>
      </c>
      <c r="F14" s="39"/>
      <c r="G14" s="39"/>
      <c r="H14" s="39" t="s">
        <v>133</v>
      </c>
      <c r="I14" s="39"/>
      <c r="J14" s="39" t="s">
        <v>148</v>
      </c>
      <c r="K14" s="40"/>
      <c r="L14" s="47"/>
      <c r="M14" s="41"/>
      <c r="N14" s="42"/>
      <c r="O14" s="42"/>
      <c r="P14" s="43"/>
      <c r="Q14" s="44"/>
      <c r="R14" s="44"/>
      <c r="S14" s="44"/>
      <c r="T14" s="44"/>
      <c r="U14" s="44"/>
      <c r="V14" s="44"/>
      <c r="W14" s="44"/>
      <c r="X14" s="16"/>
      <c r="Y14" s="17"/>
      <c r="Z14" s="17"/>
      <c r="AA14" s="17"/>
      <c r="AB14" s="3"/>
      <c r="AC14" s="3"/>
      <c r="AD14" s="3"/>
      <c r="AE14" s="3"/>
      <c r="AF14" s="3"/>
      <c r="AG14" s="3"/>
      <c r="AH14" s="1"/>
      <c r="AI14" s="1"/>
      <c r="AJ14" s="1"/>
      <c r="AK14" s="1"/>
      <c r="AL14" s="1"/>
      <c r="AM14" s="1"/>
      <c r="AN14" s="1"/>
      <c r="AO14" s="1"/>
      <c r="AP14" s="1"/>
      <c r="AQ14" s="1"/>
      <c r="AR14" s="1"/>
      <c r="AS14" s="1"/>
      <c r="AT14" s="17"/>
      <c r="AU14" s="17"/>
    </row>
    <row r="15" spans="2:47" s="18" customFormat="1" ht="117" customHeight="1" x14ac:dyDescent="0.35">
      <c r="B15" s="39" t="s">
        <v>44</v>
      </c>
      <c r="C15" s="39" t="s">
        <v>126</v>
      </c>
      <c r="D15" s="45"/>
      <c r="E15" s="39" t="s">
        <v>128</v>
      </c>
      <c r="F15" s="39"/>
      <c r="G15" s="39"/>
      <c r="H15" s="46" t="s">
        <v>134</v>
      </c>
      <c r="I15" s="39"/>
      <c r="J15" s="49" t="s">
        <v>149</v>
      </c>
      <c r="K15" s="40"/>
      <c r="L15" s="47"/>
      <c r="M15" s="41"/>
      <c r="N15" s="42"/>
      <c r="O15" s="42"/>
      <c r="P15" s="43"/>
      <c r="Q15" s="44"/>
      <c r="R15" s="44"/>
      <c r="S15" s="44"/>
      <c r="T15" s="44"/>
      <c r="U15" s="44"/>
      <c r="V15" s="44"/>
      <c r="W15" s="44"/>
      <c r="X15" s="16"/>
      <c r="Y15" s="17"/>
      <c r="Z15" s="17"/>
      <c r="AA15" s="17"/>
      <c r="AB15" s="3"/>
      <c r="AC15" s="3"/>
      <c r="AD15" s="3"/>
      <c r="AE15" s="3"/>
      <c r="AF15" s="3"/>
      <c r="AG15" s="3"/>
      <c r="AH15" s="1"/>
      <c r="AI15" s="1"/>
      <c r="AJ15" s="1"/>
      <c r="AK15" s="1"/>
      <c r="AL15" s="1"/>
      <c r="AM15" s="1"/>
      <c r="AN15" s="1"/>
      <c r="AO15" s="1"/>
      <c r="AP15" s="1"/>
      <c r="AQ15" s="1"/>
      <c r="AR15" s="1"/>
      <c r="AS15" s="1"/>
      <c r="AT15" s="17"/>
      <c r="AU15" s="17"/>
    </row>
    <row r="16" spans="2:47" s="18" customFormat="1" ht="409.6" customHeight="1" x14ac:dyDescent="0.35">
      <c r="B16" s="39" t="s">
        <v>45</v>
      </c>
      <c r="C16" s="39" t="s">
        <v>100</v>
      </c>
      <c r="D16" s="45" t="s">
        <v>104</v>
      </c>
      <c r="E16" s="39" t="s">
        <v>113</v>
      </c>
      <c r="F16" s="39"/>
      <c r="G16" s="39"/>
      <c r="H16" s="46" t="s">
        <v>135</v>
      </c>
      <c r="I16" s="50" t="s">
        <v>101</v>
      </c>
      <c r="J16" s="39" t="s">
        <v>103</v>
      </c>
      <c r="K16" s="40"/>
      <c r="L16" s="47"/>
      <c r="M16" s="41" t="s">
        <v>75</v>
      </c>
      <c r="N16" s="42" t="s">
        <v>76</v>
      </c>
      <c r="O16" s="42" t="s">
        <v>77</v>
      </c>
      <c r="P16" s="43" t="s">
        <v>71</v>
      </c>
      <c r="Q16" s="44"/>
      <c r="R16" s="44"/>
      <c r="S16" s="44"/>
      <c r="T16" s="44"/>
      <c r="U16" s="44"/>
      <c r="V16" s="44"/>
      <c r="W16" s="44"/>
      <c r="X16" s="16"/>
      <c r="Y16" s="17"/>
      <c r="Z16" s="17"/>
      <c r="AA16" s="17"/>
      <c r="AB16" s="3"/>
      <c r="AC16" s="3"/>
      <c r="AD16" s="3"/>
      <c r="AE16" s="3"/>
      <c r="AF16" s="3"/>
      <c r="AG16" s="3"/>
      <c r="AH16" s="1"/>
      <c r="AI16" s="1"/>
      <c r="AJ16" s="1"/>
      <c r="AK16" s="1"/>
      <c r="AL16" s="1"/>
      <c r="AM16" s="1"/>
      <c r="AN16" s="1"/>
      <c r="AO16" s="1"/>
      <c r="AP16" s="1"/>
      <c r="AQ16" s="1"/>
      <c r="AR16" s="1"/>
      <c r="AS16" s="1"/>
      <c r="AT16" s="17"/>
      <c r="AU16" s="17"/>
    </row>
    <row r="17" spans="2:47" s="18" customFormat="1" ht="409.5" x14ac:dyDescent="0.35">
      <c r="B17" s="39" t="s">
        <v>46</v>
      </c>
      <c r="C17" s="39" t="s">
        <v>107</v>
      </c>
      <c r="D17" s="45" t="s">
        <v>108</v>
      </c>
      <c r="E17" s="39" t="s">
        <v>129</v>
      </c>
      <c r="F17" s="39"/>
      <c r="G17" s="39"/>
      <c r="H17" s="39" t="s">
        <v>136</v>
      </c>
      <c r="I17" s="51" t="s">
        <v>106</v>
      </c>
      <c r="J17" s="39" t="s">
        <v>117</v>
      </c>
      <c r="K17" s="40"/>
      <c r="L17" s="47"/>
      <c r="M17" s="41" t="s">
        <v>75</v>
      </c>
      <c r="N17" s="42" t="s">
        <v>76</v>
      </c>
      <c r="O17" s="42" t="s">
        <v>77</v>
      </c>
      <c r="P17" s="43" t="s">
        <v>71</v>
      </c>
      <c r="Q17" s="44"/>
      <c r="R17" s="44"/>
      <c r="S17" s="44"/>
      <c r="T17" s="44"/>
      <c r="U17" s="44"/>
      <c r="V17" s="44"/>
      <c r="W17" s="44"/>
      <c r="X17" s="16"/>
      <c r="Y17" s="17"/>
      <c r="Z17" s="17"/>
      <c r="AA17" s="17"/>
      <c r="AB17" s="3"/>
      <c r="AC17" s="3"/>
      <c r="AD17" s="3"/>
      <c r="AE17" s="3"/>
      <c r="AF17" s="3"/>
      <c r="AG17" s="3"/>
      <c r="AH17" s="1"/>
      <c r="AI17" s="1"/>
      <c r="AJ17" s="1"/>
      <c r="AK17" s="1"/>
      <c r="AL17" s="1"/>
      <c r="AM17" s="1"/>
      <c r="AN17" s="1"/>
      <c r="AO17" s="1"/>
      <c r="AP17" s="1"/>
      <c r="AQ17" s="1"/>
      <c r="AR17" s="1"/>
      <c r="AS17" s="1"/>
      <c r="AT17" s="17"/>
      <c r="AU17" s="17"/>
    </row>
    <row r="18" spans="2:47" s="18" customFormat="1" ht="141" customHeight="1" x14ac:dyDescent="0.35">
      <c r="B18" s="39" t="s">
        <v>47</v>
      </c>
      <c r="C18" s="39" t="s">
        <v>153</v>
      </c>
      <c r="D18" s="45" t="s">
        <v>120</v>
      </c>
      <c r="E18" s="39" t="s">
        <v>130</v>
      </c>
      <c r="F18" s="39"/>
      <c r="G18" s="39"/>
      <c r="H18" s="46" t="s">
        <v>137</v>
      </c>
      <c r="I18" s="39"/>
      <c r="J18" s="39" t="s">
        <v>143</v>
      </c>
      <c r="K18" s="40"/>
      <c r="L18" s="47"/>
      <c r="M18" s="47"/>
      <c r="N18" s="45"/>
      <c r="O18" s="45"/>
      <c r="P18" s="45"/>
      <c r="Q18" s="44"/>
      <c r="R18" s="44"/>
      <c r="S18" s="44"/>
      <c r="T18" s="44"/>
      <c r="U18" s="44"/>
      <c r="V18" s="44"/>
      <c r="W18" s="44"/>
      <c r="X18" s="16"/>
      <c r="Y18" s="17"/>
      <c r="Z18" s="17"/>
      <c r="AA18" s="17"/>
      <c r="AB18" s="3"/>
      <c r="AC18" s="3"/>
      <c r="AD18" s="3"/>
      <c r="AE18" s="3"/>
      <c r="AF18" s="3"/>
      <c r="AG18" s="3"/>
      <c r="AH18" s="1"/>
      <c r="AI18" s="1"/>
      <c r="AJ18" s="1"/>
      <c r="AK18" s="1"/>
      <c r="AL18" s="1"/>
      <c r="AM18" s="1"/>
      <c r="AN18" s="1"/>
      <c r="AO18" s="1"/>
      <c r="AP18" s="1"/>
      <c r="AQ18" s="1"/>
      <c r="AR18" s="1"/>
      <c r="AS18" s="1"/>
      <c r="AT18" s="17"/>
      <c r="AU18" s="17"/>
    </row>
    <row r="19" spans="2:47" x14ac:dyDescent="0.35">
      <c r="D19" s="31"/>
      <c r="H19" s="6"/>
    </row>
    <row r="20" spans="2:47" x14ac:dyDescent="0.35">
      <c r="H20" s="6"/>
    </row>
    <row r="21" spans="2:47" x14ac:dyDescent="0.35">
      <c r="B21" s="23"/>
      <c r="H21" s="6"/>
    </row>
    <row r="22" spans="2:47" x14ac:dyDescent="0.35">
      <c r="H22" s="6"/>
    </row>
    <row r="23" spans="2:47" x14ac:dyDescent="0.35">
      <c r="H23" s="6"/>
    </row>
    <row r="24" spans="2:47" x14ac:dyDescent="0.35">
      <c r="H24" s="6"/>
    </row>
    <row r="25" spans="2:47" x14ac:dyDescent="0.35">
      <c r="H25" s="6"/>
    </row>
    <row r="26" spans="2:47" x14ac:dyDescent="0.35">
      <c r="H26" s="6"/>
    </row>
    <row r="27" spans="2:47" x14ac:dyDescent="0.35">
      <c r="H27" s="6"/>
    </row>
  </sheetData>
  <autoFilter ref="B4:AU18" xr:uid="{00000000-0009-0000-0000-000000000000}"/>
  <mergeCells count="9">
    <mergeCell ref="Y3:AA3"/>
    <mergeCell ref="AB3:AF3"/>
    <mergeCell ref="AH3:AS3"/>
    <mergeCell ref="AT3:AU3"/>
    <mergeCell ref="L2:P2"/>
    <mergeCell ref="L3:M3"/>
    <mergeCell ref="N3:P3"/>
    <mergeCell ref="Q3:S3"/>
    <mergeCell ref="T3:X3"/>
  </mergeCells>
  <phoneticPr fontId="12" type="noConversion"/>
  <conditionalFormatting sqref="I7:I8">
    <cfRule type="expression" dxfId="40" priority="2">
      <formula>$AY7="S"</formula>
    </cfRule>
  </conditionalFormatting>
  <conditionalFormatting sqref="I6:J6">
    <cfRule type="expression" dxfId="39" priority="3">
      <formula>$AY6="S"</formula>
    </cfRule>
  </conditionalFormatting>
  <conditionalFormatting sqref="J7">
    <cfRule type="expression" dxfId="38" priority="1">
      <formula>$AY7="S"</formula>
    </cfRule>
  </conditionalFormatting>
  <conditionalFormatting sqref="K5:K7 H6:H7 J8:K9 H9:H10 I10:K15 H12:H13 H15:H16 J16:K17 H18:K18">
    <cfRule type="expression" dxfId="37" priority="13">
      <formula>$AY5="S"</formula>
    </cfRule>
  </conditionalFormatting>
  <conditionalFormatting sqref="AB4">
    <cfRule type="containsText" dxfId="36" priority="5" operator="containsText" text="oportunidad">
      <formula>NOT(ISERROR(SEARCH("oportunidad",AB4)))</formula>
    </cfRule>
    <cfRule type="containsText" dxfId="35" priority="6" operator="containsText" text="inadecuado">
      <formula>NOT(ISERROR(SEARCH("inadecuado",AB4)))</formula>
    </cfRule>
  </conditionalFormatting>
  <conditionalFormatting sqref="AB3:AC3 AC4 AB5:AG18">
    <cfRule type="containsText" dxfId="34" priority="7" operator="containsText" text="inefectivo">
      <formula>NOT(ISERROR(SEARCH("inefectivo",AB3)))</formula>
    </cfRule>
    <cfRule type="containsText" dxfId="33" priority="8" operator="containsText" text="Inadecuado">
      <formula>NOT(ISERROR(SEARCH("Inadecuado",AB3)))</formula>
    </cfRule>
  </conditionalFormatting>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41"/>
  <sheetViews>
    <sheetView showGridLines="0" tabSelected="1" topLeftCell="L32" zoomScale="50" zoomScaleNormal="50" workbookViewId="0">
      <selection activeCell="D12" sqref="D12"/>
    </sheetView>
  </sheetViews>
  <sheetFormatPr baseColWidth="10" defaultColWidth="8.6328125" defaultRowHeight="15.5" x14ac:dyDescent="0.35"/>
  <cols>
    <col min="1" max="1" width="8.6328125" style="88"/>
    <col min="2" max="3" width="43.6328125" style="6" customWidth="1"/>
    <col min="4" max="4" width="105.6328125" style="6" customWidth="1"/>
    <col min="5" max="5" width="17.90625" style="6" customWidth="1"/>
    <col min="6" max="7" width="24.54296875" style="6" customWidth="1"/>
    <col min="8" max="10" width="22.81640625" style="6" customWidth="1"/>
    <col min="11" max="11" width="20.453125" style="6" customWidth="1"/>
    <col min="12" max="12" width="60.6328125" style="6" customWidth="1"/>
    <col min="13" max="13" width="19" style="55" customWidth="1"/>
    <col min="14" max="14" width="40.6328125" customWidth="1"/>
    <col min="15" max="15" width="61" style="6" customWidth="1"/>
    <col min="16" max="21" width="24.54296875" style="6" customWidth="1"/>
    <col min="22" max="22" width="51.90625" style="6" customWidth="1"/>
    <col min="23" max="16384" width="8.6328125" style="6"/>
  </cols>
  <sheetData>
    <row r="2" spans="1:22" ht="29" customHeight="1" x14ac:dyDescent="0.35">
      <c r="G2" s="127" t="s">
        <v>294</v>
      </c>
      <c r="H2" s="127"/>
      <c r="I2" s="127"/>
    </row>
    <row r="3" spans="1:22" ht="36" customHeight="1" x14ac:dyDescent="0.5">
      <c r="B3"/>
      <c r="C3"/>
      <c r="D3" s="4"/>
      <c r="E3" s="4"/>
      <c r="F3" s="4"/>
      <c r="G3" s="92" t="s">
        <v>296</v>
      </c>
      <c r="H3" s="93" t="s">
        <v>295</v>
      </c>
      <c r="I3" s="93" t="s">
        <v>339</v>
      </c>
      <c r="J3" s="24"/>
      <c r="K3" s="24"/>
      <c r="L3" s="24"/>
      <c r="M3" s="24"/>
      <c r="N3" s="24"/>
      <c r="O3" s="94" t="s">
        <v>258</v>
      </c>
    </row>
    <row r="4" spans="1:22" ht="29" customHeight="1" x14ac:dyDescent="0.35">
      <c r="B4"/>
      <c r="C4"/>
      <c r="D4" s="4"/>
      <c r="E4" s="4"/>
      <c r="F4" s="4"/>
      <c r="G4" s="91">
        <v>5</v>
      </c>
      <c r="H4" s="91" t="s">
        <v>297</v>
      </c>
      <c r="I4" s="91" t="s">
        <v>299</v>
      </c>
      <c r="J4" s="24"/>
      <c r="K4" s="24"/>
      <c r="L4" s="24"/>
      <c r="M4" s="24"/>
      <c r="N4" s="24"/>
      <c r="O4" s="64" t="s">
        <v>259</v>
      </c>
    </row>
    <row r="5" spans="1:22" ht="29" customHeight="1" x14ac:dyDescent="0.35">
      <c r="B5"/>
      <c r="C5"/>
      <c r="D5" s="4"/>
      <c r="E5" s="4"/>
      <c r="F5" s="4"/>
      <c r="G5" s="91">
        <v>4</v>
      </c>
      <c r="H5" s="91" t="s">
        <v>200</v>
      </c>
      <c r="I5" s="91" t="s">
        <v>300</v>
      </c>
      <c r="J5" s="24"/>
      <c r="K5" s="24"/>
      <c r="L5" s="24"/>
      <c r="M5" s="24"/>
      <c r="N5" s="24"/>
      <c r="O5" s="62" t="s">
        <v>261</v>
      </c>
    </row>
    <row r="6" spans="1:22" ht="29" customHeight="1" x14ac:dyDescent="0.35">
      <c r="B6" s="112" t="s">
        <v>360</v>
      </c>
      <c r="C6" s="112"/>
      <c r="D6" s="112"/>
      <c r="E6" s="4"/>
      <c r="F6" s="4"/>
      <c r="G6" s="91">
        <v>3</v>
      </c>
      <c r="H6" s="91" t="s">
        <v>198</v>
      </c>
      <c r="I6" s="91" t="s">
        <v>298</v>
      </c>
      <c r="J6" s="24"/>
      <c r="K6" s="24"/>
      <c r="L6" s="24"/>
      <c r="M6" s="24"/>
      <c r="N6" s="24"/>
      <c r="O6" s="56" t="s">
        <v>260</v>
      </c>
    </row>
    <row r="7" spans="1:22" ht="29" customHeight="1" x14ac:dyDescent="0.35">
      <c r="B7" s="112" t="s">
        <v>191</v>
      </c>
      <c r="C7" s="112"/>
      <c r="D7" s="112"/>
      <c r="E7" s="4"/>
      <c r="F7" s="4"/>
      <c r="G7" s="91">
        <v>2</v>
      </c>
      <c r="H7" s="91" t="s">
        <v>257</v>
      </c>
      <c r="I7" s="91" t="s">
        <v>301</v>
      </c>
      <c r="J7" s="24"/>
      <c r="K7" s="24"/>
      <c r="L7" s="24"/>
      <c r="M7" s="24"/>
      <c r="N7" s="24"/>
      <c r="O7" s="89">
        <f>N10+1</f>
        <v>1</v>
      </c>
    </row>
    <row r="8" spans="1:22" ht="29" customHeight="1" x14ac:dyDescent="0.35">
      <c r="C8" s="112"/>
      <c r="D8" s="112"/>
      <c r="E8" s="4"/>
      <c r="F8" s="4"/>
      <c r="G8" s="91">
        <v>1</v>
      </c>
      <c r="H8" s="91" t="s">
        <v>303</v>
      </c>
      <c r="I8" s="91" t="s">
        <v>302</v>
      </c>
      <c r="J8" s="4"/>
      <c r="K8" s="24"/>
      <c r="L8" s="24"/>
      <c r="M8" s="24"/>
      <c r="N8" s="24"/>
    </row>
    <row r="9" spans="1:22" ht="24" customHeight="1" thickBot="1" x14ac:dyDescent="0.4">
      <c r="B9" s="111"/>
      <c r="C9" s="111"/>
      <c r="D9" s="111"/>
      <c r="E9" s="4"/>
      <c r="F9" s="4"/>
      <c r="G9" s="4"/>
      <c r="H9" s="4"/>
      <c r="I9" s="4"/>
      <c r="J9" s="4"/>
      <c r="K9" s="24"/>
      <c r="L9" s="24"/>
      <c r="M9" s="24"/>
      <c r="N9" s="24"/>
    </row>
    <row r="10" spans="1:22" s="90" customFormat="1" ht="25.25" customHeight="1" thickBot="1" x14ac:dyDescent="0.4">
      <c r="A10" s="88"/>
      <c r="B10" s="89">
        <v>1</v>
      </c>
      <c r="C10" s="89">
        <f>B10+1</f>
        <v>2</v>
      </c>
      <c r="D10" s="89">
        <f t="shared" ref="D10:L10" si="0">C10+1</f>
        <v>3</v>
      </c>
      <c r="E10" s="89">
        <f t="shared" si="0"/>
        <v>4</v>
      </c>
      <c r="F10" s="89">
        <f t="shared" si="0"/>
        <v>5</v>
      </c>
      <c r="G10" s="89">
        <f t="shared" si="0"/>
        <v>6</v>
      </c>
      <c r="H10" s="89">
        <f t="shared" si="0"/>
        <v>7</v>
      </c>
      <c r="I10" s="89">
        <f t="shared" si="0"/>
        <v>8</v>
      </c>
      <c r="J10" s="89">
        <f t="shared" si="0"/>
        <v>9</v>
      </c>
      <c r="K10" s="89">
        <f t="shared" si="0"/>
        <v>10</v>
      </c>
      <c r="L10" s="89">
        <f t="shared" si="0"/>
        <v>11</v>
      </c>
      <c r="M10" s="125" t="s">
        <v>349</v>
      </c>
      <c r="N10" s="125"/>
      <c r="O10" s="125"/>
      <c r="P10" s="125" t="s">
        <v>350</v>
      </c>
      <c r="Q10" s="125"/>
      <c r="R10" s="125" t="s">
        <v>347</v>
      </c>
      <c r="S10" s="125"/>
      <c r="T10" s="125"/>
      <c r="U10" s="96"/>
      <c r="V10" s="89" t="e">
        <f>#REF!+1</f>
        <v>#REF!</v>
      </c>
    </row>
    <row r="11" spans="1:22" ht="80.75" customHeight="1" thickBot="1" x14ac:dyDescent="0.4">
      <c r="A11" s="89">
        <v>1</v>
      </c>
      <c r="B11" s="109" t="s">
        <v>308</v>
      </c>
      <c r="C11" s="126" t="s">
        <v>321</v>
      </c>
      <c r="D11" s="126"/>
      <c r="E11" s="109" t="s">
        <v>50</v>
      </c>
      <c r="F11" s="109" t="s">
        <v>196</v>
      </c>
      <c r="G11" s="109" t="s">
        <v>262</v>
      </c>
      <c r="H11" s="110" t="s">
        <v>282</v>
      </c>
      <c r="I11" s="109" t="s">
        <v>305</v>
      </c>
      <c r="J11" s="110" t="s">
        <v>283</v>
      </c>
      <c r="K11" s="109" t="s">
        <v>205</v>
      </c>
      <c r="L11" s="109" t="s">
        <v>78</v>
      </c>
      <c r="M11" s="103" t="s">
        <v>59</v>
      </c>
      <c r="N11" s="101" t="s">
        <v>351</v>
      </c>
      <c r="O11" s="101" t="s">
        <v>361</v>
      </c>
      <c r="P11" s="102" t="s">
        <v>346</v>
      </c>
      <c r="Q11" s="102" t="s">
        <v>2</v>
      </c>
      <c r="R11" s="102" t="s">
        <v>4</v>
      </c>
      <c r="S11" s="102" t="s">
        <v>5</v>
      </c>
      <c r="T11" s="102" t="s">
        <v>6</v>
      </c>
      <c r="U11" s="97" t="s">
        <v>348</v>
      </c>
      <c r="V11" s="98" t="s">
        <v>38</v>
      </c>
    </row>
    <row r="12" spans="1:22" s="58" customFormat="1" ht="408.65" customHeight="1" x14ac:dyDescent="0.35">
      <c r="A12" s="88">
        <f>A11+1</f>
        <v>2</v>
      </c>
      <c r="B12" s="104" t="s">
        <v>242</v>
      </c>
      <c r="C12" s="104" t="s">
        <v>309</v>
      </c>
      <c r="D12" s="105" t="s">
        <v>250</v>
      </c>
      <c r="E12" s="106" t="s">
        <v>56</v>
      </c>
      <c r="F12" s="107" t="s">
        <v>197</v>
      </c>
      <c r="G12" s="108" t="s">
        <v>200</v>
      </c>
      <c r="H12" s="108">
        <v>5</v>
      </c>
      <c r="I12" s="108" t="s">
        <v>300</v>
      </c>
      <c r="J12" s="108">
        <v>4</v>
      </c>
      <c r="K12" s="104" t="s">
        <v>163</v>
      </c>
      <c r="L12" s="104" t="s">
        <v>306</v>
      </c>
      <c r="M12" s="65" t="s">
        <v>206</v>
      </c>
      <c r="N12" s="99" t="s">
        <v>352</v>
      </c>
      <c r="O12" s="64" t="s">
        <v>241</v>
      </c>
      <c r="P12" s="41" t="s">
        <v>355</v>
      </c>
      <c r="Q12" s="41" t="s">
        <v>75</v>
      </c>
      <c r="R12" s="41" t="s">
        <v>356</v>
      </c>
      <c r="S12" s="41" t="s">
        <v>76</v>
      </c>
      <c r="T12" s="41" t="s">
        <v>357</v>
      </c>
      <c r="U12" s="41" t="s">
        <v>358</v>
      </c>
      <c r="V12" s="63" t="s">
        <v>359</v>
      </c>
    </row>
    <row r="13" spans="1:22" s="59" customFormat="1" ht="251.4" customHeight="1" x14ac:dyDescent="0.35">
      <c r="A13" s="88">
        <f t="shared" ref="A13:A33" si="1">A12+1</f>
        <v>3</v>
      </c>
      <c r="B13" s="56" t="s">
        <v>242</v>
      </c>
      <c r="C13" s="56" t="s">
        <v>309</v>
      </c>
      <c r="D13" s="57" t="s">
        <v>251</v>
      </c>
      <c r="E13" s="60" t="s">
        <v>83</v>
      </c>
      <c r="F13" s="61" t="s">
        <v>197</v>
      </c>
      <c r="G13" s="68" t="s">
        <v>200</v>
      </c>
      <c r="H13" s="68">
        <v>5</v>
      </c>
      <c r="I13" s="68" t="s">
        <v>304</v>
      </c>
      <c r="J13" s="68">
        <v>2</v>
      </c>
      <c r="K13" s="56" t="s">
        <v>163</v>
      </c>
      <c r="L13" s="56" t="s">
        <v>307</v>
      </c>
      <c r="M13" s="65" t="s">
        <v>207</v>
      </c>
      <c r="N13" s="41" t="s">
        <v>353</v>
      </c>
      <c r="O13" s="56" t="s">
        <v>181</v>
      </c>
      <c r="P13" s="41"/>
      <c r="Q13" s="41"/>
      <c r="R13" s="41"/>
      <c r="S13" s="41"/>
      <c r="T13" s="41"/>
      <c r="U13" s="41"/>
      <c r="V13" s="63"/>
    </row>
    <row r="14" spans="1:22" s="58" customFormat="1" ht="231" customHeight="1" x14ac:dyDescent="0.35">
      <c r="A14" s="88">
        <f t="shared" si="1"/>
        <v>4</v>
      </c>
      <c r="B14" s="67" t="s">
        <v>243</v>
      </c>
      <c r="C14" s="56" t="s">
        <v>309</v>
      </c>
      <c r="D14" s="57" t="s">
        <v>267</v>
      </c>
      <c r="E14" s="60" t="s">
        <v>109</v>
      </c>
      <c r="F14" s="61" t="s">
        <v>199</v>
      </c>
      <c r="G14" s="68" t="s">
        <v>200</v>
      </c>
      <c r="H14" s="68">
        <v>4</v>
      </c>
      <c r="I14" s="68" t="s">
        <v>300</v>
      </c>
      <c r="J14" s="68">
        <v>3</v>
      </c>
      <c r="K14" s="56" t="s">
        <v>163</v>
      </c>
      <c r="L14" s="56" t="s">
        <v>268</v>
      </c>
      <c r="M14" s="65" t="s">
        <v>208</v>
      </c>
      <c r="N14" s="99" t="s">
        <v>352</v>
      </c>
      <c r="O14" s="64" t="s">
        <v>201</v>
      </c>
      <c r="P14" s="41"/>
      <c r="Q14" s="41"/>
      <c r="R14" s="41"/>
      <c r="S14" s="41"/>
      <c r="T14" s="41"/>
      <c r="U14" s="41"/>
      <c r="V14" s="63"/>
    </row>
    <row r="15" spans="1:22" s="58" customFormat="1" ht="231" customHeight="1" x14ac:dyDescent="0.35">
      <c r="A15" s="88">
        <f t="shared" si="1"/>
        <v>5</v>
      </c>
      <c r="B15" s="67" t="s">
        <v>243</v>
      </c>
      <c r="C15" s="56" t="s">
        <v>310</v>
      </c>
      <c r="D15" s="57" t="s">
        <v>322</v>
      </c>
      <c r="E15" s="60" t="s">
        <v>110</v>
      </c>
      <c r="F15" s="61" t="s">
        <v>199</v>
      </c>
      <c r="G15" s="68" t="s">
        <v>198</v>
      </c>
      <c r="H15" s="68">
        <v>3</v>
      </c>
      <c r="I15" s="68" t="s">
        <v>304</v>
      </c>
      <c r="J15" s="68">
        <v>2</v>
      </c>
      <c r="K15" s="56" t="s">
        <v>163</v>
      </c>
      <c r="L15" s="56" t="s">
        <v>269</v>
      </c>
      <c r="M15" s="65" t="s">
        <v>209</v>
      </c>
      <c r="N15" s="99" t="s">
        <v>352</v>
      </c>
      <c r="O15" s="99" t="s">
        <v>343</v>
      </c>
      <c r="P15" s="41"/>
      <c r="Q15" s="41"/>
      <c r="R15" s="41"/>
      <c r="S15" s="41"/>
      <c r="T15" s="41"/>
      <c r="U15" s="41"/>
      <c r="V15" s="63"/>
    </row>
    <row r="16" spans="1:22" s="58" customFormat="1" ht="266" customHeight="1" x14ac:dyDescent="0.35">
      <c r="A16" s="88">
        <f t="shared" si="1"/>
        <v>6</v>
      </c>
      <c r="B16" s="67" t="s">
        <v>243</v>
      </c>
      <c r="C16" s="56" t="s">
        <v>311</v>
      </c>
      <c r="D16" s="57" t="s">
        <v>340</v>
      </c>
      <c r="E16" s="60" t="s">
        <v>111</v>
      </c>
      <c r="F16" s="61" t="s">
        <v>199</v>
      </c>
      <c r="G16" s="68" t="s">
        <v>198</v>
      </c>
      <c r="H16" s="68">
        <v>3</v>
      </c>
      <c r="I16" s="68" t="s">
        <v>300</v>
      </c>
      <c r="J16" s="68">
        <v>3</v>
      </c>
      <c r="K16" s="56" t="s">
        <v>163</v>
      </c>
      <c r="L16" s="56" t="s">
        <v>323</v>
      </c>
      <c r="M16" s="65" t="s">
        <v>210</v>
      </c>
      <c r="N16" s="99" t="s">
        <v>352</v>
      </c>
      <c r="O16" s="64" t="s">
        <v>344</v>
      </c>
      <c r="P16" s="41"/>
      <c r="Q16" s="41"/>
      <c r="R16" s="41"/>
      <c r="S16" s="41"/>
      <c r="T16" s="41"/>
      <c r="U16" s="41"/>
      <c r="V16" s="63"/>
    </row>
    <row r="17" spans="1:22" s="58" customFormat="1" ht="231" customHeight="1" x14ac:dyDescent="0.35">
      <c r="A17" s="88">
        <f t="shared" si="1"/>
        <v>7</v>
      </c>
      <c r="B17" s="67" t="s">
        <v>243</v>
      </c>
      <c r="C17" s="56" t="s">
        <v>312</v>
      </c>
      <c r="D17" s="57" t="s">
        <v>229</v>
      </c>
      <c r="E17" s="60" t="s">
        <v>112</v>
      </c>
      <c r="F17" s="61" t="s">
        <v>199</v>
      </c>
      <c r="G17" s="68" t="s">
        <v>198</v>
      </c>
      <c r="H17" s="68">
        <v>4</v>
      </c>
      <c r="I17" s="68" t="s">
        <v>304</v>
      </c>
      <c r="J17" s="68">
        <v>2</v>
      </c>
      <c r="K17" s="56" t="s">
        <v>163</v>
      </c>
      <c r="L17" s="56" t="s">
        <v>270</v>
      </c>
      <c r="M17" s="65" t="s">
        <v>211</v>
      </c>
      <c r="N17" s="99" t="s">
        <v>352</v>
      </c>
      <c r="O17" s="99" t="s">
        <v>345</v>
      </c>
      <c r="P17" s="41"/>
      <c r="Q17" s="41"/>
      <c r="R17" s="41"/>
      <c r="S17" s="41"/>
      <c r="T17" s="41"/>
      <c r="U17" s="41"/>
      <c r="V17" s="63"/>
    </row>
    <row r="18" spans="1:22" s="58" customFormat="1" ht="286.25" customHeight="1" x14ac:dyDescent="0.35">
      <c r="A18" s="88">
        <f t="shared" si="1"/>
        <v>8</v>
      </c>
      <c r="B18" s="67" t="s">
        <v>243</v>
      </c>
      <c r="C18" s="56" t="s">
        <v>313</v>
      </c>
      <c r="D18" s="56" t="s">
        <v>227</v>
      </c>
      <c r="E18" s="60" t="s">
        <v>114</v>
      </c>
      <c r="F18" s="61" t="s">
        <v>199</v>
      </c>
      <c r="G18" s="68" t="s">
        <v>198</v>
      </c>
      <c r="H18" s="68">
        <v>4</v>
      </c>
      <c r="I18" s="68" t="s">
        <v>304</v>
      </c>
      <c r="J18" s="68">
        <v>2</v>
      </c>
      <c r="K18" s="56" t="s">
        <v>163</v>
      </c>
      <c r="L18" s="56" t="s">
        <v>271</v>
      </c>
      <c r="M18" s="65" t="s">
        <v>212</v>
      </c>
      <c r="N18" s="41" t="s">
        <v>353</v>
      </c>
      <c r="O18" s="56" t="s">
        <v>202</v>
      </c>
      <c r="P18" s="41"/>
      <c r="Q18" s="41"/>
      <c r="R18" s="41"/>
      <c r="S18" s="41"/>
      <c r="T18" s="41"/>
      <c r="U18" s="41"/>
      <c r="V18" s="63"/>
    </row>
    <row r="19" spans="1:22" s="58" customFormat="1" ht="231" customHeight="1" x14ac:dyDescent="0.35">
      <c r="A19" s="88">
        <f t="shared" si="1"/>
        <v>9</v>
      </c>
      <c r="B19" s="67" t="s">
        <v>243</v>
      </c>
      <c r="C19" s="56" t="s">
        <v>313</v>
      </c>
      <c r="D19" s="63" t="s">
        <v>226</v>
      </c>
      <c r="E19" s="60" t="s">
        <v>115</v>
      </c>
      <c r="F19" s="61" t="s">
        <v>199</v>
      </c>
      <c r="G19" s="68" t="s">
        <v>198</v>
      </c>
      <c r="H19" s="68">
        <v>4</v>
      </c>
      <c r="I19" s="68" t="s">
        <v>299</v>
      </c>
      <c r="J19" s="68">
        <v>3</v>
      </c>
      <c r="K19" s="56" t="s">
        <v>163</v>
      </c>
      <c r="L19" s="56" t="s">
        <v>272</v>
      </c>
      <c r="M19" s="65" t="s">
        <v>213</v>
      </c>
      <c r="N19" s="100" t="s">
        <v>354</v>
      </c>
      <c r="O19" s="62" t="s">
        <v>336</v>
      </c>
      <c r="P19" s="41"/>
      <c r="Q19" s="41"/>
      <c r="R19" s="41"/>
      <c r="S19" s="41"/>
      <c r="T19" s="41"/>
      <c r="U19" s="41"/>
      <c r="V19" s="63"/>
    </row>
    <row r="20" spans="1:22" s="58" customFormat="1" ht="231" customHeight="1" x14ac:dyDescent="0.35">
      <c r="A20" s="88">
        <f t="shared" si="1"/>
        <v>10</v>
      </c>
      <c r="B20" s="56" t="s">
        <v>273</v>
      </c>
      <c r="C20" s="56" t="s">
        <v>314</v>
      </c>
      <c r="D20" s="63" t="s">
        <v>274</v>
      </c>
      <c r="E20" s="60" t="s">
        <v>116</v>
      </c>
      <c r="F20" s="61" t="s">
        <v>199</v>
      </c>
      <c r="G20" s="68" t="s">
        <v>198</v>
      </c>
      <c r="H20" s="68">
        <v>3</v>
      </c>
      <c r="I20" s="68" t="s">
        <v>298</v>
      </c>
      <c r="J20" s="68">
        <v>4</v>
      </c>
      <c r="K20" s="56" t="s">
        <v>163</v>
      </c>
      <c r="L20" s="56" t="s">
        <v>230</v>
      </c>
      <c r="M20" s="65" t="s">
        <v>214</v>
      </c>
      <c r="N20" s="99" t="s">
        <v>352</v>
      </c>
      <c r="O20" s="64" t="s">
        <v>331</v>
      </c>
      <c r="P20" s="41"/>
      <c r="Q20" s="41"/>
      <c r="R20" s="41"/>
      <c r="S20" s="41"/>
      <c r="T20" s="41"/>
      <c r="U20" s="41"/>
      <c r="V20" s="63"/>
    </row>
    <row r="21" spans="1:22" s="58" customFormat="1" ht="231" customHeight="1" x14ac:dyDescent="0.35">
      <c r="A21" s="88">
        <f t="shared" si="1"/>
        <v>11</v>
      </c>
      <c r="B21" s="56" t="s">
        <v>273</v>
      </c>
      <c r="C21" s="56" t="s">
        <v>314</v>
      </c>
      <c r="D21" s="63" t="s">
        <v>275</v>
      </c>
      <c r="E21" s="60" t="s">
        <v>127</v>
      </c>
      <c r="F21" s="61" t="s">
        <v>199</v>
      </c>
      <c r="G21" s="68" t="s">
        <v>198</v>
      </c>
      <c r="H21" s="68">
        <v>2</v>
      </c>
      <c r="I21" s="68" t="s">
        <v>300</v>
      </c>
      <c r="J21" s="68">
        <v>3</v>
      </c>
      <c r="K21" s="56" t="s">
        <v>163</v>
      </c>
      <c r="L21" s="56" t="s">
        <v>231</v>
      </c>
      <c r="M21" s="65" t="s">
        <v>215</v>
      </c>
      <c r="N21" s="99" t="s">
        <v>352</v>
      </c>
      <c r="O21" s="64" t="s">
        <v>232</v>
      </c>
      <c r="P21" s="41"/>
      <c r="Q21" s="41"/>
      <c r="R21" s="41"/>
      <c r="S21" s="41"/>
      <c r="T21" s="41"/>
      <c r="U21" s="41"/>
      <c r="V21" s="63"/>
    </row>
    <row r="22" spans="1:22" s="58" customFormat="1" ht="317" x14ac:dyDescent="0.35">
      <c r="A22" s="88">
        <f t="shared" si="1"/>
        <v>12</v>
      </c>
      <c r="B22" s="56" t="s">
        <v>273</v>
      </c>
      <c r="C22" s="56" t="s">
        <v>315</v>
      </c>
      <c r="D22" s="57" t="s">
        <v>324</v>
      </c>
      <c r="E22" s="60" t="s">
        <v>128</v>
      </c>
      <c r="F22" s="61" t="s">
        <v>199</v>
      </c>
      <c r="G22" s="68" t="s">
        <v>198</v>
      </c>
      <c r="H22" s="68">
        <v>3</v>
      </c>
      <c r="I22" s="68" t="s">
        <v>304</v>
      </c>
      <c r="J22" s="68">
        <v>2</v>
      </c>
      <c r="K22" s="56" t="s">
        <v>163</v>
      </c>
      <c r="L22" s="56" t="s">
        <v>193</v>
      </c>
      <c r="M22" s="65" t="s">
        <v>216</v>
      </c>
      <c r="N22" s="41" t="s">
        <v>353</v>
      </c>
      <c r="O22" s="56" t="s">
        <v>337</v>
      </c>
      <c r="P22" s="41"/>
      <c r="Q22" s="41"/>
      <c r="R22" s="41"/>
      <c r="S22" s="41"/>
      <c r="T22" s="41"/>
      <c r="U22" s="41"/>
      <c r="V22" s="63"/>
    </row>
    <row r="23" spans="1:22" s="58" customFormat="1" ht="259.5" customHeight="1" x14ac:dyDescent="0.35">
      <c r="A23" s="88">
        <f t="shared" si="1"/>
        <v>13</v>
      </c>
      <c r="B23" s="56" t="s">
        <v>273</v>
      </c>
      <c r="C23" s="56" t="s">
        <v>316</v>
      </c>
      <c r="D23" s="63" t="s">
        <v>228</v>
      </c>
      <c r="E23" s="60" t="s">
        <v>113</v>
      </c>
      <c r="F23" s="61" t="s">
        <v>199</v>
      </c>
      <c r="G23" s="68" t="s">
        <v>200</v>
      </c>
      <c r="H23" s="68">
        <v>5</v>
      </c>
      <c r="I23" s="68" t="s">
        <v>300</v>
      </c>
      <c r="J23" s="68">
        <v>2</v>
      </c>
      <c r="K23" s="56" t="s">
        <v>163</v>
      </c>
      <c r="L23" s="56" t="s">
        <v>276</v>
      </c>
      <c r="M23" s="65" t="s">
        <v>217</v>
      </c>
      <c r="N23" s="41" t="s">
        <v>353</v>
      </c>
      <c r="O23" s="56" t="s">
        <v>277</v>
      </c>
      <c r="P23" s="41"/>
      <c r="Q23" s="41"/>
      <c r="R23" s="41"/>
      <c r="S23" s="41"/>
      <c r="T23" s="41"/>
      <c r="U23" s="41"/>
      <c r="V23" s="63"/>
    </row>
    <row r="24" spans="1:22" s="58" customFormat="1" ht="259.5" customHeight="1" x14ac:dyDescent="0.35">
      <c r="A24" s="88">
        <f t="shared" si="1"/>
        <v>14</v>
      </c>
      <c r="B24" s="56" t="s">
        <v>273</v>
      </c>
      <c r="C24" s="56" t="s">
        <v>316</v>
      </c>
      <c r="D24" s="63" t="s">
        <v>325</v>
      </c>
      <c r="E24" s="60" t="s">
        <v>113</v>
      </c>
      <c r="F24" s="61" t="s">
        <v>199</v>
      </c>
      <c r="G24" s="68" t="s">
        <v>200</v>
      </c>
      <c r="H24" s="68">
        <v>5</v>
      </c>
      <c r="I24" s="68" t="s">
        <v>300</v>
      </c>
      <c r="J24" s="68">
        <v>3</v>
      </c>
      <c r="K24" s="56" t="s">
        <v>163</v>
      </c>
      <c r="L24" s="56" t="s">
        <v>276</v>
      </c>
      <c r="M24" s="65" t="s">
        <v>218</v>
      </c>
      <c r="N24" s="99" t="s">
        <v>352</v>
      </c>
      <c r="O24" s="64" t="s">
        <v>326</v>
      </c>
      <c r="P24" s="41"/>
      <c r="Q24" s="41"/>
      <c r="R24" s="41"/>
      <c r="S24" s="41"/>
      <c r="T24" s="41"/>
      <c r="U24" s="41"/>
      <c r="V24" s="63"/>
    </row>
    <row r="25" spans="1:22" s="58" customFormat="1" ht="320" customHeight="1" x14ac:dyDescent="0.35">
      <c r="A25" s="88">
        <f t="shared" si="1"/>
        <v>15</v>
      </c>
      <c r="B25" s="56" t="s">
        <v>273</v>
      </c>
      <c r="C25" s="56" t="s">
        <v>317</v>
      </c>
      <c r="D25" s="57" t="s">
        <v>341</v>
      </c>
      <c r="E25" s="60" t="s">
        <v>129</v>
      </c>
      <c r="F25" s="61" t="s">
        <v>199</v>
      </c>
      <c r="G25" s="68" t="s">
        <v>198</v>
      </c>
      <c r="H25" s="68">
        <v>3</v>
      </c>
      <c r="I25" s="68" t="s">
        <v>300</v>
      </c>
      <c r="J25" s="68">
        <v>3</v>
      </c>
      <c r="K25" s="56" t="s">
        <v>163</v>
      </c>
      <c r="L25" s="56" t="s">
        <v>278</v>
      </c>
      <c r="M25" s="65" t="s">
        <v>219</v>
      </c>
      <c r="N25" s="99" t="s">
        <v>352</v>
      </c>
      <c r="O25" s="64" t="s">
        <v>279</v>
      </c>
      <c r="P25" s="41"/>
      <c r="Q25" s="41"/>
      <c r="R25" s="41"/>
      <c r="S25" s="41"/>
      <c r="T25" s="41"/>
      <c r="U25" s="41"/>
      <c r="V25" s="63"/>
    </row>
    <row r="26" spans="1:22" s="58" customFormat="1" ht="231" customHeight="1" x14ac:dyDescent="0.35">
      <c r="A26" s="88">
        <f t="shared" si="1"/>
        <v>16</v>
      </c>
      <c r="B26" s="56" t="s">
        <v>273</v>
      </c>
      <c r="C26" s="56" t="s">
        <v>317</v>
      </c>
      <c r="D26" s="57" t="s">
        <v>342</v>
      </c>
      <c r="E26" s="60" t="s">
        <v>130</v>
      </c>
      <c r="F26" s="61" t="s">
        <v>199</v>
      </c>
      <c r="G26" s="68" t="s">
        <v>198</v>
      </c>
      <c r="H26" s="68">
        <v>3</v>
      </c>
      <c r="I26" s="68" t="s">
        <v>304</v>
      </c>
      <c r="J26" s="68">
        <v>2</v>
      </c>
      <c r="K26" s="56" t="s">
        <v>163</v>
      </c>
      <c r="L26" s="56" t="s">
        <v>192</v>
      </c>
      <c r="M26" s="65" t="s">
        <v>220</v>
      </c>
      <c r="N26" s="41" t="s">
        <v>353</v>
      </c>
      <c r="O26" s="56" t="s">
        <v>338</v>
      </c>
      <c r="P26" s="41"/>
      <c r="Q26" s="41"/>
      <c r="R26" s="41"/>
      <c r="S26" s="41"/>
      <c r="T26" s="41"/>
      <c r="U26" s="41"/>
      <c r="V26" s="63"/>
    </row>
    <row r="27" spans="1:22" s="58" customFormat="1" ht="320" customHeight="1" x14ac:dyDescent="0.35">
      <c r="A27" s="88">
        <f t="shared" si="1"/>
        <v>17</v>
      </c>
      <c r="B27" s="56" t="s">
        <v>244</v>
      </c>
      <c r="C27" s="56" t="s">
        <v>318</v>
      </c>
      <c r="D27" s="57" t="s">
        <v>233</v>
      </c>
      <c r="E27" s="60" t="s">
        <v>222</v>
      </c>
      <c r="F27" s="61" t="s">
        <v>197</v>
      </c>
      <c r="G27" s="68" t="s">
        <v>200</v>
      </c>
      <c r="H27" s="68">
        <v>5</v>
      </c>
      <c r="I27" s="68" t="s">
        <v>298</v>
      </c>
      <c r="J27" s="68">
        <v>4</v>
      </c>
      <c r="K27" s="56" t="s">
        <v>163</v>
      </c>
      <c r="L27" s="56" t="s">
        <v>234</v>
      </c>
      <c r="M27" s="65" t="s">
        <v>252</v>
      </c>
      <c r="N27" s="100" t="s">
        <v>354</v>
      </c>
      <c r="O27" s="66" t="s">
        <v>333</v>
      </c>
      <c r="P27" s="41"/>
      <c r="Q27" s="41"/>
      <c r="R27" s="41"/>
      <c r="S27" s="41"/>
      <c r="T27" s="41"/>
      <c r="U27" s="41"/>
      <c r="V27" s="63"/>
    </row>
    <row r="28" spans="1:22" s="58" customFormat="1" ht="320" customHeight="1" x14ac:dyDescent="0.35">
      <c r="A28" s="88">
        <f t="shared" si="1"/>
        <v>18</v>
      </c>
      <c r="B28" s="56" t="s">
        <v>244</v>
      </c>
      <c r="C28" s="56" t="s">
        <v>318</v>
      </c>
      <c r="D28" s="57" t="s">
        <v>332</v>
      </c>
      <c r="E28" s="60" t="s">
        <v>222</v>
      </c>
      <c r="F28" s="61" t="s">
        <v>197</v>
      </c>
      <c r="G28" s="68" t="s">
        <v>200</v>
      </c>
      <c r="H28" s="68">
        <v>5</v>
      </c>
      <c r="I28" s="68" t="s">
        <v>298</v>
      </c>
      <c r="J28" s="68">
        <v>4</v>
      </c>
      <c r="K28" s="56" t="s">
        <v>163</v>
      </c>
      <c r="L28" s="56" t="s">
        <v>234</v>
      </c>
      <c r="M28" s="65" t="s">
        <v>252</v>
      </c>
      <c r="N28" s="100" t="s">
        <v>354</v>
      </c>
      <c r="O28" s="66" t="s">
        <v>333</v>
      </c>
      <c r="P28" s="41"/>
      <c r="Q28" s="41"/>
      <c r="R28" s="41"/>
      <c r="S28" s="41"/>
      <c r="T28" s="41"/>
      <c r="U28" s="41"/>
      <c r="V28" s="63"/>
    </row>
    <row r="29" spans="1:22" s="58" customFormat="1" ht="320" customHeight="1" x14ac:dyDescent="0.35">
      <c r="A29" s="88">
        <f t="shared" si="1"/>
        <v>19</v>
      </c>
      <c r="B29" s="56" t="s">
        <v>245</v>
      </c>
      <c r="C29" s="56" t="s">
        <v>237</v>
      </c>
      <c r="D29" s="57" t="s">
        <v>238</v>
      </c>
      <c r="E29" s="60" t="s">
        <v>223</v>
      </c>
      <c r="F29" s="61" t="s">
        <v>197</v>
      </c>
      <c r="G29" s="68" t="s">
        <v>200</v>
      </c>
      <c r="H29" s="68">
        <v>5</v>
      </c>
      <c r="I29" s="68" t="s">
        <v>298</v>
      </c>
      <c r="J29" s="68">
        <v>4</v>
      </c>
      <c r="K29" s="56" t="s">
        <v>163</v>
      </c>
      <c r="L29" s="56" t="s">
        <v>239</v>
      </c>
      <c r="M29" s="65" t="s">
        <v>221</v>
      </c>
      <c r="N29" s="99" t="s">
        <v>352</v>
      </c>
      <c r="O29" s="64" t="s">
        <v>263</v>
      </c>
      <c r="P29" s="41"/>
      <c r="Q29" s="41"/>
      <c r="R29" s="41"/>
      <c r="S29" s="41"/>
      <c r="T29" s="41"/>
      <c r="U29" s="41"/>
      <c r="V29" s="63"/>
    </row>
    <row r="30" spans="1:22" s="58" customFormat="1" ht="331.25" customHeight="1" x14ac:dyDescent="0.35">
      <c r="A30" s="88">
        <f t="shared" si="1"/>
        <v>20</v>
      </c>
      <c r="B30" s="56" t="s">
        <v>246</v>
      </c>
      <c r="C30" s="56" t="s">
        <v>236</v>
      </c>
      <c r="D30" s="57" t="s">
        <v>235</v>
      </c>
      <c r="E30" s="60" t="s">
        <v>224</v>
      </c>
      <c r="F30" s="61" t="s">
        <v>203</v>
      </c>
      <c r="G30" s="68" t="s">
        <v>198</v>
      </c>
      <c r="H30" s="68">
        <v>3</v>
      </c>
      <c r="I30" s="68" t="s">
        <v>304</v>
      </c>
      <c r="J30" s="68">
        <v>2</v>
      </c>
      <c r="K30" s="56" t="s">
        <v>163</v>
      </c>
      <c r="L30" s="56" t="s">
        <v>194</v>
      </c>
      <c r="M30" s="65" t="s">
        <v>253</v>
      </c>
      <c r="N30" s="41" t="s">
        <v>353</v>
      </c>
      <c r="O30" s="56" t="s">
        <v>195</v>
      </c>
      <c r="P30" s="41"/>
      <c r="Q30" s="41"/>
      <c r="R30" s="41"/>
      <c r="S30" s="41"/>
      <c r="T30" s="41"/>
      <c r="U30" s="41"/>
      <c r="V30" s="63"/>
    </row>
    <row r="31" spans="1:22" s="58" customFormat="1" ht="342.65" customHeight="1" x14ac:dyDescent="0.35">
      <c r="A31" s="88">
        <f t="shared" si="1"/>
        <v>21</v>
      </c>
      <c r="B31" s="56" t="s">
        <v>247</v>
      </c>
      <c r="C31" s="56" t="s">
        <v>319</v>
      </c>
      <c r="D31" s="57" t="s">
        <v>327</v>
      </c>
      <c r="E31" s="60" t="s">
        <v>225</v>
      </c>
      <c r="F31" s="61" t="s">
        <v>264</v>
      </c>
      <c r="G31" s="68" t="s">
        <v>200</v>
      </c>
      <c r="H31" s="68">
        <v>5</v>
      </c>
      <c r="I31" s="68" t="s">
        <v>304</v>
      </c>
      <c r="J31" s="68">
        <v>2</v>
      </c>
      <c r="K31" s="56" t="s">
        <v>163</v>
      </c>
      <c r="L31" s="56" t="s">
        <v>265</v>
      </c>
      <c r="M31" s="65" t="s">
        <v>254</v>
      </c>
      <c r="N31" s="41" t="s">
        <v>353</v>
      </c>
      <c r="O31" s="56" t="s">
        <v>266</v>
      </c>
      <c r="P31" s="41"/>
      <c r="Q31" s="41"/>
      <c r="R31" s="41"/>
      <c r="S31" s="41"/>
      <c r="T31" s="41"/>
      <c r="U31" s="41"/>
      <c r="V31" s="63"/>
    </row>
    <row r="32" spans="1:22" s="58" customFormat="1" ht="259.5" customHeight="1" x14ac:dyDescent="0.35">
      <c r="A32" s="88">
        <f t="shared" si="1"/>
        <v>22</v>
      </c>
      <c r="B32" s="56" t="s">
        <v>248</v>
      </c>
      <c r="C32" s="56" t="s">
        <v>320</v>
      </c>
      <c r="D32" s="63" t="s">
        <v>328</v>
      </c>
      <c r="E32" s="60" t="s">
        <v>249</v>
      </c>
      <c r="F32" s="61" t="s">
        <v>199</v>
      </c>
      <c r="G32" s="68" t="s">
        <v>200</v>
      </c>
      <c r="H32" s="68">
        <v>5</v>
      </c>
      <c r="I32" s="68" t="s">
        <v>304</v>
      </c>
      <c r="J32" s="68">
        <v>2</v>
      </c>
      <c r="K32" s="56" t="s">
        <v>163</v>
      </c>
      <c r="L32" s="56" t="s">
        <v>330</v>
      </c>
      <c r="M32" s="65" t="s">
        <v>255</v>
      </c>
      <c r="N32" s="99" t="s">
        <v>352</v>
      </c>
      <c r="O32" s="64" t="s">
        <v>204</v>
      </c>
      <c r="P32" s="41"/>
      <c r="Q32" s="41"/>
      <c r="R32" s="41"/>
      <c r="S32" s="41"/>
      <c r="T32" s="41"/>
      <c r="U32" s="41"/>
      <c r="V32" s="63"/>
    </row>
    <row r="33" spans="1:22" s="58" customFormat="1" ht="259.5" customHeight="1" x14ac:dyDescent="0.35">
      <c r="A33" s="88">
        <f t="shared" si="1"/>
        <v>23</v>
      </c>
      <c r="B33" s="56" t="s">
        <v>240</v>
      </c>
      <c r="C33" s="56" t="s">
        <v>320</v>
      </c>
      <c r="D33" s="63" t="s">
        <v>329</v>
      </c>
      <c r="E33" s="60" t="s">
        <v>249</v>
      </c>
      <c r="F33" s="61" t="s">
        <v>199</v>
      </c>
      <c r="G33" s="68" t="s">
        <v>200</v>
      </c>
      <c r="H33" s="68">
        <v>5</v>
      </c>
      <c r="I33" s="68" t="s">
        <v>304</v>
      </c>
      <c r="J33" s="68">
        <v>2</v>
      </c>
      <c r="K33" s="56" t="s">
        <v>163</v>
      </c>
      <c r="L33" s="56" t="s">
        <v>330</v>
      </c>
      <c r="M33" s="65" t="s">
        <v>256</v>
      </c>
      <c r="N33" s="99" t="s">
        <v>352</v>
      </c>
      <c r="O33" s="64" t="s">
        <v>280</v>
      </c>
      <c r="P33" s="41"/>
      <c r="Q33" s="41"/>
      <c r="R33" s="41"/>
      <c r="S33" s="41"/>
      <c r="T33" s="41"/>
      <c r="U33" s="41"/>
      <c r="V33" s="63"/>
    </row>
    <row r="34" spans="1:22" x14ac:dyDescent="0.35">
      <c r="N34" s="6"/>
    </row>
    <row r="35" spans="1:22" x14ac:dyDescent="0.35">
      <c r="B35" s="23"/>
      <c r="C35" s="23"/>
      <c r="N35" s="6"/>
    </row>
    <row r="36" spans="1:22" x14ac:dyDescent="0.35">
      <c r="N36" s="6"/>
    </row>
    <row r="37" spans="1:22" x14ac:dyDescent="0.35">
      <c r="N37" s="6"/>
    </row>
    <row r="38" spans="1:22" ht="173.4" customHeight="1" x14ac:dyDescent="0.35">
      <c r="N38" s="6"/>
      <c r="O38" s="66" t="s">
        <v>334</v>
      </c>
    </row>
    <row r="39" spans="1:22" ht="78.650000000000006" customHeight="1" x14ac:dyDescent="0.35">
      <c r="N39" s="6"/>
      <c r="O39" s="62" t="s">
        <v>335</v>
      </c>
    </row>
    <row r="40" spans="1:22" x14ac:dyDescent="0.35">
      <c r="N40" s="6"/>
    </row>
    <row r="41" spans="1:22" x14ac:dyDescent="0.35">
      <c r="N41" s="6"/>
    </row>
  </sheetData>
  <mergeCells count="5">
    <mergeCell ref="R10:T10"/>
    <mergeCell ref="M10:O10"/>
    <mergeCell ref="C11:D11"/>
    <mergeCell ref="G2:I2"/>
    <mergeCell ref="P10:Q10"/>
  </mergeCells>
  <phoneticPr fontId="12" type="noConversion"/>
  <conditionalFormatting sqref="G12:J33">
    <cfRule type="containsText" dxfId="32" priority="3" operator="containsText" text="Medio">
      <formula>NOT(ISERROR(SEARCH("Medio",G12)))</formula>
    </cfRule>
    <cfRule type="containsText" dxfId="31" priority="4" operator="containsText" text="Alto">
      <formula>NOT(ISERROR(SEARCH("Alto",G12)))</formula>
    </cfRule>
    <cfRule type="containsText" dxfId="30" priority="5" operator="containsText" text="Bajo">
      <formula>NOT(ISERROR(SEARCH("Bajo",G12)))</formula>
    </cfRule>
    <cfRule type="containsText" dxfId="29" priority="6" operator="containsText" text="Medio">
      <formula>NOT(ISERROR(SEARCH("Medio",G12)))</formula>
    </cfRule>
    <cfRule type="containsText" dxfId="28" priority="7" operator="containsText" text="Alto">
      <formula>NOT(ISERROR(SEARCH("Alto",G12)))</formula>
    </cfRule>
  </conditionalFormatting>
  <conditionalFormatting sqref="N12:O33">
    <cfRule type="expression" dxfId="27" priority="1">
      <formula>$Y12="S"</formula>
    </cfRule>
  </conditionalFormatting>
  <conditionalFormatting sqref="O4:O5">
    <cfRule type="expression" dxfId="26" priority="9">
      <formula>$Y7="S"</formula>
    </cfRule>
  </conditionalFormatting>
  <conditionalFormatting sqref="O38">
    <cfRule type="expression" dxfId="25" priority="11">
      <formula>$Y28="S"</formula>
    </cfRule>
  </conditionalFormatting>
  <conditionalFormatting sqref="O39">
    <cfRule type="expression" dxfId="24" priority="8">
      <formula>$Y19="S"</formula>
    </cfRule>
  </conditionalFormatting>
  <dataValidations count="8">
    <dataValidation type="list" allowBlank="1" showInputMessage="1" showErrorMessage="1" sqref="G12:G33" xr:uid="{00000000-0002-0000-0100-000000000000}">
      <formula1>"Alto, Medio, Bajo"</formula1>
    </dataValidation>
    <dataValidation type="list" allowBlank="1" showInputMessage="1" showErrorMessage="1" sqref="F12:F33" xr:uid="{00000000-0002-0000-0100-000001000000}">
      <formula1>"Estructura, Empleados, 1a.Tipo de EIPP, 1b. Actividad economica, 2. Tipo de Producto/servicio, 3a. ZG Nacional, 3b. ZG Internacional, 4. Canal de Dist o Comercialización, 5. Nuevas Tecnlogías"</formula1>
    </dataValidation>
    <dataValidation type="list" allowBlank="1" showInputMessage="1" showErrorMessage="1" sqref="I12:I33" xr:uid="{00000000-0002-0000-0100-000002000000}">
      <formula1>"Muy probable, Probable, Moderado, Ocasional, Improbable"</formula1>
    </dataValidation>
    <dataValidation type="list" allowBlank="1" showInputMessage="1" showErrorMessage="1" sqref="R12:R33" xr:uid="{DF995ABB-E828-485A-BD08-D92771B747C0}">
      <formula1>"Preventivo, Detectivo"</formula1>
    </dataValidation>
    <dataValidation type="list" allowBlank="1" showInputMessage="1" showErrorMessage="1" sqref="S12:S33" xr:uid="{A472749D-6F72-4419-8D70-A14AEDE5CE43}">
      <formula1>"Manual, Automático, Semiautomático"</formula1>
    </dataValidation>
    <dataValidation type="list" allowBlank="1" showInputMessage="1" showErrorMessage="1" sqref="T12:T33" xr:uid="{83AD3E13-9BCA-46DF-B51D-14C4439E9AF1}">
      <formula1>"Annual, Semestral, Trimestral, Mensual, Semanal, Diario, Muchas veces al día, Cada vez que ocurra"</formula1>
    </dataValidation>
    <dataValidation type="list" allowBlank="1" showInputMessage="1" showErrorMessage="1" sqref="U12:U33" xr:uid="{915391AA-B5FF-4FBA-AFAA-D779A2A242AE}">
      <formula1>"Si, No"</formula1>
    </dataValidation>
    <dataValidation type="list" allowBlank="1" showInputMessage="1" showErrorMessage="1" sqref="N12:N33" xr:uid="{1CA2E69B-0EDF-4C6A-A73B-A07410DBA404}">
      <formula1>"Vigente, Vigente con OdM, Sugerido"</formula1>
    </dataValidation>
  </dataValidation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R28"/>
  <sheetViews>
    <sheetView showGridLines="0" topLeftCell="A2" zoomScale="110" zoomScaleNormal="110" workbookViewId="0">
      <selection activeCell="P11" sqref="P11"/>
    </sheetView>
  </sheetViews>
  <sheetFormatPr baseColWidth="10" defaultColWidth="8.90625" defaultRowHeight="15.5" x14ac:dyDescent="0.35"/>
  <cols>
    <col min="2" max="2" width="10.54296875" customWidth="1"/>
    <col min="3" max="3" width="2.90625" hidden="1" customWidth="1"/>
    <col min="4" max="4" width="6.36328125" style="6" customWidth="1"/>
    <col min="5" max="5" width="8.36328125" style="6" customWidth="1"/>
    <col min="6" max="6" width="8.90625" customWidth="1"/>
    <col min="8" max="8" width="4.6328125" customWidth="1"/>
    <col min="10" max="10" width="12.6328125" customWidth="1"/>
    <col min="11" max="11" width="16.6328125" customWidth="1"/>
    <col min="12" max="12" width="14.90625" customWidth="1"/>
    <col min="13" max="13" width="17.08984375" customWidth="1"/>
    <col min="14" max="14" width="16.36328125" customWidth="1"/>
    <col min="15" max="15" width="6.36328125" customWidth="1"/>
    <col min="16" max="16" width="20.6328125" customWidth="1"/>
    <col min="17" max="17" width="1.6328125" customWidth="1"/>
  </cols>
  <sheetData>
    <row r="4" spans="2:18" ht="16" thickBot="1" x14ac:dyDescent="0.4"/>
    <row r="5" spans="2:18" ht="20" customHeight="1" thickBot="1" x14ac:dyDescent="0.4">
      <c r="J5" s="138" t="s">
        <v>293</v>
      </c>
      <c r="K5" s="139"/>
      <c r="L5" s="139"/>
      <c r="M5" s="139"/>
      <c r="N5" s="140"/>
    </row>
    <row r="6" spans="2:18" ht="14.75" customHeight="1" x14ac:dyDescent="0.35">
      <c r="B6" s="69" t="s">
        <v>50</v>
      </c>
      <c r="C6" s="70" t="s">
        <v>285</v>
      </c>
      <c r="D6" s="81" t="s">
        <v>290</v>
      </c>
      <c r="E6" s="81" t="s">
        <v>291</v>
      </c>
      <c r="F6" s="81" t="s">
        <v>286</v>
      </c>
      <c r="H6" s="141" t="s">
        <v>281</v>
      </c>
      <c r="I6" s="83"/>
      <c r="J6" s="136" t="str">
        <f>IF(COUNTIFS($D$7:$D$28,J$23,$E$7:$E$28,$I7)=0,"",COUNTIFS($D$7:$D$28,J$23,$E$7:$E$28,$I7))</f>
        <v/>
      </c>
      <c r="K6" s="136" t="str">
        <f>IF(COUNTIFS($D$7:$D$28,K$23,$E$7:$E$28,$I7)=0,"",COUNTIFS($D$7:$D$28,K$23,$E$7:$E$28,$I7))</f>
        <v/>
      </c>
      <c r="L6" s="129" t="str">
        <f>IF(COUNTIFS($D$7:$D$28,L$23,$E$7:$E$28,$I7)=0,"",COUNTIFS($D$7:$D$28,L$23,$E$7:$E$28,$I7))</f>
        <v/>
      </c>
      <c r="M6" s="129" t="str">
        <f>IF(COUNTIFS($D$7:$D$28,M$23,$E$7:$E$28,$I7)=0,"",COUNTIFS($D$7:$D$28,M$23,$E$7:$E$28,$I7))</f>
        <v/>
      </c>
      <c r="N6" s="129" t="str">
        <f>IF(COUNTIFS($D$7:$D$28,N$23,$E$7:$E$28,$I7)=0,"",COUNTIFS($D$7:$D$28,N$23,$E$7:$E$28,$I7))</f>
        <v/>
      </c>
      <c r="P6" s="75" t="s">
        <v>292</v>
      </c>
      <c r="Q6" s="79"/>
      <c r="R6" s="73"/>
    </row>
    <row r="7" spans="2:18" x14ac:dyDescent="0.35">
      <c r="B7" s="71" t="s">
        <v>56</v>
      </c>
      <c r="C7" s="71">
        <f>MATCH(B7,RACMDEF!$E$11:$E$33)</f>
        <v>2</v>
      </c>
      <c r="D7" s="72" cm="1">
        <f t="array" ref="D7">INDEX(RACMDEF!$B$11:$V$33,'Mapping (1)'!C7,7)</f>
        <v>5</v>
      </c>
      <c r="E7" s="72" cm="1">
        <f t="array" ref="E7">INDEX(RACMDEF!$B$11:$V$33,'Mapping (1)'!C7,9)</f>
        <v>4</v>
      </c>
      <c r="F7" s="72">
        <f>IF(COUNTIFS(RACMDEF!$H:$H,'Mapping (1)'!D7,RACMDEF!$J:$J,'Mapping (1)'!E7)=0, "", COUNTIFS(RACMDEF!$H:$H,'Mapping (1)'!D7,RACMDEF!$J:$J,'Mapping (1)'!E7))</f>
        <v>4</v>
      </c>
      <c r="H7" s="141"/>
      <c r="I7" s="84">
        <v>5</v>
      </c>
      <c r="J7" s="136"/>
      <c r="K7" s="136"/>
      <c r="L7" s="129"/>
      <c r="M7" s="129"/>
      <c r="N7" s="129"/>
      <c r="P7" s="74" t="s">
        <v>287</v>
      </c>
      <c r="Q7" s="73"/>
      <c r="R7" s="76"/>
    </row>
    <row r="8" spans="2:18" ht="14.5" x14ac:dyDescent="0.35">
      <c r="B8" s="95" t="s">
        <v>83</v>
      </c>
      <c r="C8" s="71">
        <f>MATCH(B8,RACMDEF!$E$11:$E$33)</f>
        <v>3</v>
      </c>
      <c r="D8" s="72" cm="1">
        <f t="array" ref="D8">INDEX(RACMDEF!$B$11:$V$33,'Mapping (1)'!C8,7)</f>
        <v>5</v>
      </c>
      <c r="E8" s="72" cm="1">
        <f t="array" ref="E8">INDEX(RACMDEF!$B$11:$V$33,'Mapping (1)'!C8,9)</f>
        <v>2</v>
      </c>
      <c r="F8" s="72">
        <f>IF(COUNTIFS(RACMDEF!$H:$H,'Mapping (1)'!D8,RACMDEF!$J:$J,'Mapping (1)'!E8)=0, "", COUNTIFS(RACMDEF!$H:$H,'Mapping (1)'!D8,RACMDEF!$J:$J,'Mapping (1)'!E8))</f>
        <v>5</v>
      </c>
      <c r="H8" s="141"/>
      <c r="I8" s="84"/>
      <c r="J8" s="137"/>
      <c r="K8" s="137"/>
      <c r="L8" s="130"/>
      <c r="M8" s="130"/>
      <c r="N8" s="130"/>
      <c r="P8" s="74" t="s">
        <v>288</v>
      </c>
      <c r="Q8" s="73"/>
      <c r="R8" s="77"/>
    </row>
    <row r="9" spans="2:18" ht="14.5" x14ac:dyDescent="0.35">
      <c r="B9" s="95" t="s">
        <v>109</v>
      </c>
      <c r="C9" s="71">
        <f>MATCH(B9,RACMDEF!$E$11:$E$33)</f>
        <v>4</v>
      </c>
      <c r="D9" s="72" cm="1">
        <f t="array" ref="D9">INDEX(RACMDEF!$B$11:$V$33,'Mapping (1)'!C9,7)</f>
        <v>4</v>
      </c>
      <c r="E9" s="72" cm="1">
        <f t="array" ref="E9">INDEX(RACMDEF!$B$11:$V$33,'Mapping (1)'!C9,9)</f>
        <v>3</v>
      </c>
      <c r="F9" s="72">
        <f>IF(COUNTIFS(RACMDEF!$H:$H,'Mapping (1)'!D9,RACMDEF!$J:$J,'Mapping (1)'!E9)=0, "", COUNTIFS(RACMDEF!$H:$H,'Mapping (1)'!D9,RACMDEF!$J:$J,'Mapping (1)'!E9))</f>
        <v>2</v>
      </c>
      <c r="H9" s="141"/>
      <c r="I9" s="84"/>
      <c r="J9" s="132" t="str">
        <f>IF(COUNTIFS($D$7:$D$28,J$23,$E$7:$E$28,$I10)=0,"",COUNTIFS($D$7:$D$28,J$23,$E$7:$E$28,$I10))</f>
        <v/>
      </c>
      <c r="K9" s="135" t="str">
        <f>IF(COUNTIFS($D$7:$D$28,K$23,$E$7:$E$28,$I10)=0,"",COUNTIFS($D$7:$D$28,K$23,$E$7:$E$28,$I10))</f>
        <v/>
      </c>
      <c r="L9" s="135">
        <f>IF(COUNTIFS($D$7:$D$28,L$23,$E$7:$E$28,$I10)=0,"",COUNTIFS($D$7:$D$28,L$23,$E$7:$E$28,$I10))</f>
        <v>1</v>
      </c>
      <c r="M9" s="128" t="str">
        <f>IF(COUNTIFS($D$7:$D$28,M$23,$E$7:$E$28,$I10)=0,"",COUNTIFS($D$7:$D$28,M$23,$E$7:$E$28,$I10))</f>
        <v/>
      </c>
      <c r="N9" s="128">
        <f>IF(COUNTIFS($D$7:$D$28,N$23,$E$7:$E$28,$I10)=0,"",COUNTIFS($D$7:$D$28,N$23,$E$7:$E$28,$I10))</f>
        <v>4</v>
      </c>
      <c r="P9" s="74" t="s">
        <v>289</v>
      </c>
      <c r="Q9" s="73"/>
      <c r="R9" s="78"/>
    </row>
    <row r="10" spans="2:18" x14ac:dyDescent="0.35">
      <c r="B10" s="95" t="s">
        <v>110</v>
      </c>
      <c r="C10" s="71">
        <f>MATCH(B10,RACMDEF!$E$11:$E$33)</f>
        <v>5</v>
      </c>
      <c r="D10" s="72" cm="1">
        <f t="array" ref="D10">INDEX(RACMDEF!$B$11:$V$33,'Mapping (1)'!C10,7)</f>
        <v>3</v>
      </c>
      <c r="E10" s="72" cm="1">
        <f t="array" ref="E10">INDEX(RACMDEF!$B$11:$V$33,'Mapping (1)'!C10,9)</f>
        <v>2</v>
      </c>
      <c r="F10" s="72">
        <f>IF(COUNTIFS(RACMDEF!$H:$H,'Mapping (1)'!D10,RACMDEF!$J:$J,'Mapping (1)'!E10)=0, "", COUNTIFS(RACMDEF!$H:$H,'Mapping (1)'!D10,RACMDEF!$J:$J,'Mapping (1)'!E10))</f>
        <v>4</v>
      </c>
      <c r="H10" s="141"/>
      <c r="I10" s="84">
        <v>4</v>
      </c>
      <c r="J10" s="133"/>
      <c r="K10" s="136"/>
      <c r="L10" s="136"/>
      <c r="M10" s="129"/>
      <c r="N10" s="129"/>
    </row>
    <row r="11" spans="2:18" ht="14.5" x14ac:dyDescent="0.35">
      <c r="B11" s="95" t="s">
        <v>111</v>
      </c>
      <c r="C11" s="71">
        <f>MATCH(B11,RACMDEF!$E$11:$E$33)</f>
        <v>6</v>
      </c>
      <c r="D11" s="72" cm="1">
        <f t="array" ref="D11">INDEX(RACMDEF!$B$11:$V$33,'Mapping (1)'!C11,7)</f>
        <v>3</v>
      </c>
      <c r="E11" s="72" cm="1">
        <f t="array" ref="E11">INDEX(RACMDEF!$B$11:$V$33,'Mapping (1)'!C11,9)</f>
        <v>3</v>
      </c>
      <c r="F11" s="72">
        <f>IF(COUNTIFS(RACMDEF!$H:$H,'Mapping (1)'!D11,RACMDEF!$J:$J,'Mapping (1)'!E11)=0, "", COUNTIFS(RACMDEF!$H:$H,'Mapping (1)'!D11,RACMDEF!$J:$J,'Mapping (1)'!E11))</f>
        <v>2</v>
      </c>
      <c r="H11" s="141"/>
      <c r="I11" s="84"/>
      <c r="J11" s="134"/>
      <c r="K11" s="137"/>
      <c r="L11" s="137"/>
      <c r="M11" s="130"/>
      <c r="N11" s="130"/>
    </row>
    <row r="12" spans="2:18" ht="14.5" x14ac:dyDescent="0.35">
      <c r="B12" s="95" t="s">
        <v>112</v>
      </c>
      <c r="C12" s="71">
        <f>MATCH(B12,RACMDEF!$E$11:$E$33)</f>
        <v>7</v>
      </c>
      <c r="D12" s="72" cm="1">
        <f t="array" ref="D12">INDEX(RACMDEF!$B$11:$V$33,'Mapping (1)'!C12,7)</f>
        <v>4</v>
      </c>
      <c r="E12" s="72" cm="1">
        <f t="array" ref="E12">INDEX(RACMDEF!$B$11:$V$33,'Mapping (1)'!C12,9)</f>
        <v>2</v>
      </c>
      <c r="F12" s="72">
        <f>IF(COUNTIFS(RACMDEF!$H:$H,'Mapping (1)'!D12,RACMDEF!$J:$J,'Mapping (1)'!E12)=0, "", COUNTIFS(RACMDEF!$H:$H,'Mapping (1)'!D12,RACMDEF!$J:$J,'Mapping (1)'!E12))</f>
        <v>2</v>
      </c>
      <c r="H12" s="141"/>
      <c r="I12" s="84"/>
      <c r="J12" s="132" t="str">
        <f>IF(COUNTIFS($D$7:$D$28,J$23,$E$7:$E$28,$I13)=0,"",COUNTIFS($D$7:$D$28,J$23,$E$7:$E$28,$I13))</f>
        <v/>
      </c>
      <c r="K12" s="135">
        <f>IF(COUNTIFS($D$7:$D$28,K$23,$E$7:$E$28,$I13)=0,"",COUNTIFS($D$7:$D$28,K$23,$E$7:$E$28,$I13))</f>
        <v>1</v>
      </c>
      <c r="L12" s="135">
        <f>IF(COUNTIFS($D$7:$D$28,L$23,$E$7:$E$28,$I13)=0,"",COUNTIFS($D$7:$D$28,L$23,$E$7:$E$28,$I13))</f>
        <v>2</v>
      </c>
      <c r="M12" s="128">
        <f>IF(COUNTIFS($D$7:$D$28,M$23,$E$7:$E$28,$I13)=0,"",COUNTIFS($D$7:$D$28,M$23,$E$7:$E$28,$I13))</f>
        <v>2</v>
      </c>
      <c r="N12" s="128">
        <f>IF(COUNTIFS($D$7:$D$28,N$23,$E$7:$E$28,$I13)=0,"",COUNTIFS($D$7:$D$28,N$23,$E$7:$E$28,$I13))</f>
        <v>2</v>
      </c>
    </row>
    <row r="13" spans="2:18" ht="21" x14ac:dyDescent="0.35">
      <c r="B13" s="95" t="s">
        <v>114</v>
      </c>
      <c r="C13" s="71">
        <f>MATCH(B13,RACMDEF!$E$11:$E$33)</f>
        <v>8</v>
      </c>
      <c r="D13" s="72" cm="1">
        <f t="array" ref="D13">INDEX(RACMDEF!$B$11:$V$33,'Mapping (1)'!C13,7)</f>
        <v>4</v>
      </c>
      <c r="E13" s="72" cm="1">
        <f t="array" ref="E13">INDEX(RACMDEF!$B$11:$V$33,'Mapping (1)'!C13,9)</f>
        <v>2</v>
      </c>
      <c r="F13" s="72">
        <f>IF(COUNTIFS(RACMDEF!$H:$H,'Mapping (1)'!D13,RACMDEF!$J:$J,'Mapping (1)'!E13)=0, "", COUNTIFS(RACMDEF!$H:$H,'Mapping (1)'!D13,RACMDEF!$J:$J,'Mapping (1)'!E13))</f>
        <v>2</v>
      </c>
      <c r="H13" s="141"/>
      <c r="I13" s="84">
        <v>3</v>
      </c>
      <c r="J13" s="133"/>
      <c r="K13" s="136"/>
      <c r="L13" s="136"/>
      <c r="M13" s="129"/>
      <c r="N13" s="129"/>
      <c r="O13" s="82"/>
      <c r="P13" s="80"/>
    </row>
    <row r="14" spans="2:18" ht="14.5" x14ac:dyDescent="0.35">
      <c r="B14" s="95" t="s">
        <v>115</v>
      </c>
      <c r="C14" s="71">
        <f>MATCH(B14,RACMDEF!$E$11:$E$33)</f>
        <v>9</v>
      </c>
      <c r="D14" s="72" cm="1">
        <f t="array" ref="D14">INDEX(RACMDEF!$B$11:$V$33,'Mapping (1)'!C14,7)</f>
        <v>4</v>
      </c>
      <c r="E14" s="72" cm="1">
        <f t="array" ref="E14">INDEX(RACMDEF!$B$11:$V$33,'Mapping (1)'!C14,9)</f>
        <v>3</v>
      </c>
      <c r="F14" s="72">
        <f>IF(COUNTIFS(RACMDEF!$H:$H,'Mapping (1)'!D14,RACMDEF!$J:$J,'Mapping (1)'!E14)=0, "", COUNTIFS(RACMDEF!$H:$H,'Mapping (1)'!D14,RACMDEF!$J:$J,'Mapping (1)'!E14))</f>
        <v>2</v>
      </c>
      <c r="H14" s="141"/>
      <c r="I14" s="84"/>
      <c r="J14" s="134"/>
      <c r="K14" s="137"/>
      <c r="L14" s="137"/>
      <c r="M14" s="130"/>
      <c r="N14" s="130"/>
    </row>
    <row r="15" spans="2:18" ht="14.5" x14ac:dyDescent="0.35">
      <c r="B15" s="71" t="s">
        <v>116</v>
      </c>
      <c r="C15" s="71">
        <f>MATCH(B15,RACMDEF!$E$11:$E$33)</f>
        <v>10</v>
      </c>
      <c r="D15" s="72" cm="1">
        <f t="array" ref="D15">INDEX(RACMDEF!$B$11:$V$33,'Mapping (1)'!C15,7)</f>
        <v>3</v>
      </c>
      <c r="E15" s="72" cm="1">
        <f t="array" ref="E15">INDEX(RACMDEF!$B$11:$V$33,'Mapping (1)'!C15,9)</f>
        <v>4</v>
      </c>
      <c r="F15" s="72">
        <f>IF(COUNTIFS(RACMDEF!$H:$H,'Mapping (1)'!D15,RACMDEF!$J:$J,'Mapping (1)'!E15)=0, "", COUNTIFS(RACMDEF!$H:$H,'Mapping (1)'!D15,RACMDEF!$J:$J,'Mapping (1)'!E15))</f>
        <v>1</v>
      </c>
      <c r="H15" s="141"/>
      <c r="I15" s="84"/>
      <c r="J15" s="132" t="str">
        <f>IF(COUNTIFS($D$7:$D$28,J$23,$E$7:$E$28,$I16)=0,"",COUNTIFS($D$7:$D$28,J$23,$E$7:$E$28,$I16))</f>
        <v/>
      </c>
      <c r="K15" s="132" t="str">
        <f>IF(COUNTIFS($D$7:$D$28,K$23,$E$7:$E$28,$I16)=0,"",COUNTIFS($D$7:$D$28,K$23,$E$7:$E$28,$I16))</f>
        <v/>
      </c>
      <c r="L15" s="135">
        <f>IF(COUNTIFS($D$7:$D$28,L$23,$E$7:$E$28,$I16)=0,"",COUNTIFS($D$7:$D$28,L$23,$E$7:$E$28,$I16))</f>
        <v>4</v>
      </c>
      <c r="M15" s="135">
        <f>IF(COUNTIFS($D$7:$D$28,M$23,$E$7:$E$28,$I16)=0,"",COUNTIFS($D$7:$D$28,M$23,$E$7:$E$28,$I16))</f>
        <v>2</v>
      </c>
      <c r="N15" s="128">
        <f>IF(COUNTIFS($D$7:$D$28,N$23,$E$7:$E$28,$I16)=0,"",COUNTIFS($D$7:$D$28,N$23,$E$7:$E$28,$I16))</f>
        <v>4</v>
      </c>
    </row>
    <row r="16" spans="2:18" x14ac:dyDescent="0.35">
      <c r="B16" s="71" t="s">
        <v>127</v>
      </c>
      <c r="C16" s="71">
        <f>MATCH(B16,RACMDEF!$E$11:$E$33)</f>
        <v>11</v>
      </c>
      <c r="D16" s="72" cm="1">
        <f t="array" ref="D16">INDEX(RACMDEF!$B$11:$V$33,'Mapping (1)'!C16,7)</f>
        <v>2</v>
      </c>
      <c r="E16" s="72" cm="1">
        <f t="array" ref="E16">INDEX(RACMDEF!$B$11:$V$33,'Mapping (1)'!C16,9)</f>
        <v>3</v>
      </c>
      <c r="F16" s="72">
        <f>IF(COUNTIFS(RACMDEF!$H:$H,'Mapping (1)'!D16,RACMDEF!$J:$J,'Mapping (1)'!E16)=0, "", COUNTIFS(RACMDEF!$H:$H,'Mapping (1)'!D16,RACMDEF!$J:$J,'Mapping (1)'!E16))</f>
        <v>1</v>
      </c>
      <c r="H16" s="141"/>
      <c r="I16" s="84">
        <v>2</v>
      </c>
      <c r="J16" s="133"/>
      <c r="K16" s="133"/>
      <c r="L16" s="136"/>
      <c r="M16" s="136"/>
      <c r="N16" s="129"/>
    </row>
    <row r="17" spans="2:14" ht="14.5" x14ac:dyDescent="0.35">
      <c r="B17" s="71" t="s">
        <v>128</v>
      </c>
      <c r="C17" s="71">
        <f>MATCH(B17,RACMDEF!$E$11:$E$33)</f>
        <v>12</v>
      </c>
      <c r="D17" s="72" cm="1">
        <f t="array" ref="D17">INDEX(RACMDEF!$B$11:$V$33,'Mapping (1)'!C17,7)</f>
        <v>3</v>
      </c>
      <c r="E17" s="72" cm="1">
        <f t="array" ref="E17">INDEX(RACMDEF!$B$11:$V$33,'Mapping (1)'!C17,9)</f>
        <v>2</v>
      </c>
      <c r="F17" s="72">
        <f>IF(COUNTIFS(RACMDEF!$H:$H,'Mapping (1)'!D17,RACMDEF!$J:$J,'Mapping (1)'!E17)=0, "", COUNTIFS(RACMDEF!$H:$H,'Mapping (1)'!D17,RACMDEF!$J:$J,'Mapping (1)'!E17))</f>
        <v>4</v>
      </c>
      <c r="H17" s="141"/>
      <c r="I17" s="85"/>
      <c r="J17" s="134"/>
      <c r="K17" s="134"/>
      <c r="L17" s="137"/>
      <c r="M17" s="137"/>
      <c r="N17" s="130"/>
    </row>
    <row r="18" spans="2:14" ht="14.5" x14ac:dyDescent="0.35">
      <c r="B18" s="71" t="s">
        <v>113</v>
      </c>
      <c r="C18" s="71">
        <f>MATCH(B18,RACMDEF!$E$11:$E$33)</f>
        <v>14</v>
      </c>
      <c r="D18" s="72" cm="1">
        <f t="array" ref="D18">INDEX(RACMDEF!$B$11:$V$33,'Mapping (1)'!C18,7)</f>
        <v>5</v>
      </c>
      <c r="E18" s="72" cm="1">
        <f t="array" ref="E18">INDEX(RACMDEF!$B$11:$V$33,'Mapping (1)'!C18,9)</f>
        <v>3</v>
      </c>
      <c r="F18" s="72">
        <f>IF(COUNTIFS(RACMDEF!$H:$H,'Mapping (1)'!D18,RACMDEF!$J:$J,'Mapping (1)'!E18)=0, "", COUNTIFS(RACMDEF!$H:$H,'Mapping (1)'!D18,RACMDEF!$J:$J,'Mapping (1)'!E18))</f>
        <v>1</v>
      </c>
      <c r="H18" s="141"/>
      <c r="I18" s="85"/>
      <c r="J18" s="132" t="str">
        <f>IF(COUNTIFS($D$7:$D$28,J$23,$E$7:$E$28,$I19)=0,"",COUNTIFS($D$7:$D$28,J$23,$E$7:$E$28,$I19))</f>
        <v/>
      </c>
      <c r="K18" s="132" t="str">
        <f>IF(COUNTIFS($D$7:$D$28,K$23,$E$7:$E$28,$I19)=0,"",COUNTIFS($D$7:$D$28,K$23,$E$7:$E$28,$I19))</f>
        <v/>
      </c>
      <c r="L18" s="132" t="str">
        <f>IF(COUNTIFS($D$7:$D$28,L$23,$E$7:$E$28,$I19)=0,"",COUNTIFS($D$7:$D$28,L$23,$E$7:$E$28,$I19))</f>
        <v/>
      </c>
      <c r="M18" s="135" t="str">
        <f>IF(COUNTIFS($D$7:$D$28,M$23,$E$7:$E$28,$I19)=0,"",COUNTIFS($D$7:$D$28,M$23,$E$7:$E$28,$I19))</f>
        <v/>
      </c>
      <c r="N18" s="135" t="str">
        <f>IF(COUNTIFS($D$7:$D$28,N$23,$E$7:$E$28,$I19)=0,"",COUNTIFS($D$7:$D$28,N$23,$E$7:$E$28,$I19))</f>
        <v/>
      </c>
    </row>
    <row r="19" spans="2:14" x14ac:dyDescent="0.35">
      <c r="B19" s="71" t="s">
        <v>113</v>
      </c>
      <c r="C19" s="71">
        <f>MATCH(B19,RACMDEF!$E$11:$E$33)</f>
        <v>14</v>
      </c>
      <c r="D19" s="72" cm="1">
        <f t="array" ref="D19">INDEX(RACMDEF!$B$11:$V$33,'Mapping (1)'!C19,7)</f>
        <v>5</v>
      </c>
      <c r="E19" s="72" cm="1">
        <f t="array" ref="E19">INDEX(RACMDEF!$B$11:$V$33,'Mapping (1)'!C19,9)</f>
        <v>3</v>
      </c>
      <c r="F19" s="72">
        <f>IF(COUNTIFS(RACMDEF!$H:$H,'Mapping (1)'!D19,RACMDEF!$J:$J,'Mapping (1)'!E19)=0, "", COUNTIFS(RACMDEF!$H:$H,'Mapping (1)'!D19,RACMDEF!$J:$J,'Mapping (1)'!E19))</f>
        <v>1</v>
      </c>
      <c r="H19" s="141"/>
      <c r="I19" s="86">
        <v>1</v>
      </c>
      <c r="J19" s="133"/>
      <c r="K19" s="133"/>
      <c r="L19" s="133"/>
      <c r="M19" s="136"/>
      <c r="N19" s="136"/>
    </row>
    <row r="20" spans="2:14" ht="14.5" x14ac:dyDescent="0.35">
      <c r="B20" s="71" t="s">
        <v>129</v>
      </c>
      <c r="C20" s="71">
        <f>MATCH(B20,RACMDEF!$E$11:$E$33)</f>
        <v>15</v>
      </c>
      <c r="D20" s="72" cm="1">
        <f t="array" ref="D20">INDEX(RACMDEF!$B$11:$V$33,'Mapping (1)'!C20,7)</f>
        <v>3</v>
      </c>
      <c r="E20" s="72" cm="1">
        <f t="array" ref="E20">INDEX(RACMDEF!$B$11:$V$33,'Mapping (1)'!C20,9)</f>
        <v>3</v>
      </c>
      <c r="F20" s="72">
        <f>IF(COUNTIFS(RACMDEF!$H:$H,'Mapping (1)'!D20,RACMDEF!$J:$J,'Mapping (1)'!E20)=0, "", COUNTIFS(RACMDEF!$H:$H,'Mapping (1)'!D20,RACMDEF!$J:$J,'Mapping (1)'!E20))</f>
        <v>2</v>
      </c>
      <c r="H20" s="141"/>
      <c r="J20" s="134"/>
      <c r="K20" s="134"/>
      <c r="L20" s="134"/>
      <c r="M20" s="137"/>
      <c r="N20" s="137"/>
    </row>
    <row r="21" spans="2:14" ht="14.5" x14ac:dyDescent="0.35">
      <c r="B21" s="71" t="s">
        <v>130</v>
      </c>
      <c r="C21" s="71">
        <f>MATCH(B21,RACMDEF!$E$11:$E$33)</f>
        <v>16</v>
      </c>
      <c r="D21" s="72" cm="1">
        <f t="array" ref="D21">INDEX(RACMDEF!$B$11:$V$33,'Mapping (1)'!C21,7)</f>
        <v>3</v>
      </c>
      <c r="E21" s="72" cm="1">
        <f t="array" ref="E21">INDEX(RACMDEF!$B$11:$V$33,'Mapping (1)'!C21,9)</f>
        <v>2</v>
      </c>
      <c r="F21" s="72">
        <f>IF(COUNTIFS(RACMDEF!$H:$H,'Mapping (1)'!D21,RACMDEF!$J:$J,'Mapping (1)'!E21)=0, "", COUNTIFS(RACMDEF!$H:$H,'Mapping (1)'!D21,RACMDEF!$J:$J,'Mapping (1)'!E21))</f>
        <v>4</v>
      </c>
      <c r="H21" s="83"/>
    </row>
    <row r="22" spans="2:14" ht="14.5" x14ac:dyDescent="0.35">
      <c r="B22" s="71" t="s">
        <v>222</v>
      </c>
      <c r="C22" s="71">
        <f>MATCH(B22,RACMDEF!$E$11:$E$33)</f>
        <v>18</v>
      </c>
      <c r="D22" s="72" cm="1">
        <f t="array" ref="D22">INDEX(RACMDEF!$B$11:$V$33,'Mapping (1)'!C22,7)</f>
        <v>5</v>
      </c>
      <c r="E22" s="72" cm="1">
        <f t="array" ref="E22">INDEX(RACMDEF!$B$11:$V$33,'Mapping (1)'!C22,9)</f>
        <v>4</v>
      </c>
      <c r="F22" s="72">
        <f>IF(COUNTIFS(RACMDEF!$H:$H,'Mapping (1)'!D22,RACMDEF!$J:$J,'Mapping (1)'!E22)=0, "", COUNTIFS(RACMDEF!$H:$H,'Mapping (1)'!D22,RACMDEF!$J:$J,'Mapping (1)'!E22))</f>
        <v>4</v>
      </c>
    </row>
    <row r="23" spans="2:14" ht="14.5" x14ac:dyDescent="0.35">
      <c r="B23" s="71" t="s">
        <v>222</v>
      </c>
      <c r="C23" s="71">
        <f>MATCH(B23,RACMDEF!$E$11:$E$33)</f>
        <v>18</v>
      </c>
      <c r="D23" s="72" cm="1">
        <f t="array" ref="D23">INDEX(RACMDEF!$B$11:$V$33,'Mapping (1)'!C23,7)</f>
        <v>5</v>
      </c>
      <c r="E23" s="72" cm="1">
        <f t="array" ref="E23">INDEX(RACMDEF!$B$11:$V$33,'Mapping (1)'!C23,9)</f>
        <v>4</v>
      </c>
      <c r="F23" s="72">
        <f>IF(COUNTIFS(RACMDEF!$H:$H,'Mapping (1)'!D23,RACMDEF!$J:$J,'Mapping (1)'!E23)=0, "", COUNTIFS(RACMDEF!$H:$H,'Mapping (1)'!D23,RACMDEF!$J:$J,'Mapping (1)'!E23))</f>
        <v>4</v>
      </c>
      <c r="J23" s="87">
        <v>1</v>
      </c>
      <c r="K23" s="87">
        <v>2</v>
      </c>
      <c r="L23" s="87">
        <v>3</v>
      </c>
      <c r="M23" s="87">
        <v>4</v>
      </c>
      <c r="N23" s="87">
        <v>5</v>
      </c>
    </row>
    <row r="24" spans="2:14" ht="14.5" x14ac:dyDescent="0.35">
      <c r="B24" s="71" t="s">
        <v>223</v>
      </c>
      <c r="C24" s="71">
        <f>MATCH(B24,RACMDEF!$E$11:$E$33)</f>
        <v>19</v>
      </c>
      <c r="D24" s="72" cm="1">
        <f t="array" ref="D24">INDEX(RACMDEF!$B$11:$V$33,'Mapping (1)'!C24,7)</f>
        <v>5</v>
      </c>
      <c r="E24" s="72" cm="1">
        <f t="array" ref="E24">INDEX(RACMDEF!$B$11:$V$33,'Mapping (1)'!C24,9)</f>
        <v>4</v>
      </c>
      <c r="F24" s="72">
        <f>IF(COUNTIFS(RACMDEF!$H:$H,'Mapping (1)'!D24,RACMDEF!$J:$J,'Mapping (1)'!E24)=0, "", COUNTIFS(RACMDEF!$H:$H,'Mapping (1)'!D24,RACMDEF!$J:$J,'Mapping (1)'!E24))</f>
        <v>4</v>
      </c>
    </row>
    <row r="25" spans="2:14" ht="14.5" x14ac:dyDescent="0.35">
      <c r="B25" s="71" t="s">
        <v>224</v>
      </c>
      <c r="C25" s="71">
        <f>MATCH(B25,RACMDEF!$E$11:$E$33)</f>
        <v>20</v>
      </c>
      <c r="D25" s="72" cm="1">
        <f t="array" ref="D25">INDEX(RACMDEF!$B$11:$V$33,'Mapping (1)'!C25,7)</f>
        <v>3</v>
      </c>
      <c r="E25" s="72" cm="1">
        <f t="array" ref="E25">INDEX(RACMDEF!$B$11:$V$33,'Mapping (1)'!C25,9)</f>
        <v>2</v>
      </c>
      <c r="F25" s="72">
        <f>IF(COUNTIFS(RACMDEF!$H:$H,'Mapping (1)'!D25,RACMDEF!$J:$J,'Mapping (1)'!E25)=0, "", COUNTIFS(RACMDEF!$H:$H,'Mapping (1)'!D25,RACMDEF!$J:$J,'Mapping (1)'!E25))</f>
        <v>4</v>
      </c>
    </row>
    <row r="26" spans="2:14" ht="14.5" x14ac:dyDescent="0.35">
      <c r="B26" s="71" t="s">
        <v>225</v>
      </c>
      <c r="C26" s="71">
        <f>MATCH(B26,RACMDEF!$E$11:$E$33)</f>
        <v>21</v>
      </c>
      <c r="D26" s="72" cm="1">
        <f t="array" ref="D26">INDEX(RACMDEF!$B$11:$V$33,'Mapping (1)'!C26,7)</f>
        <v>5</v>
      </c>
      <c r="E26" s="72" cm="1">
        <f t="array" ref="E26">INDEX(RACMDEF!$B$11:$V$33,'Mapping (1)'!C26,9)</f>
        <v>2</v>
      </c>
      <c r="F26" s="72">
        <f>IF(COUNTIFS(RACMDEF!$H:$H,'Mapping (1)'!D26,RACMDEF!$J:$J,'Mapping (1)'!E26)=0, "", COUNTIFS(RACMDEF!$H:$H,'Mapping (1)'!D26,RACMDEF!$J:$J,'Mapping (1)'!E26))</f>
        <v>5</v>
      </c>
      <c r="J26" s="131" t="s">
        <v>284</v>
      </c>
      <c r="K26" s="131"/>
      <c r="L26" s="131"/>
      <c r="M26" s="131"/>
      <c r="N26" s="131"/>
    </row>
    <row r="27" spans="2:14" ht="14.5" x14ac:dyDescent="0.35">
      <c r="B27" s="71" t="s">
        <v>249</v>
      </c>
      <c r="C27" s="71">
        <f>MATCH(B27,RACMDEF!$E$11:$E$33)</f>
        <v>23</v>
      </c>
      <c r="D27" s="72" cm="1">
        <f t="array" ref="D27">INDEX(RACMDEF!$B$11:$V$33,'Mapping (1)'!C27,7)</f>
        <v>5</v>
      </c>
      <c r="E27" s="72" cm="1">
        <f t="array" ref="E27">INDEX(RACMDEF!$B$11:$V$33,'Mapping (1)'!C27,9)</f>
        <v>2</v>
      </c>
      <c r="F27" s="72">
        <f>IF(COUNTIFS(RACMDEF!$H:$H,'Mapping (1)'!D27,RACMDEF!$J:$J,'Mapping (1)'!E27)=0, "", COUNTIFS(RACMDEF!$H:$H,'Mapping (1)'!D27,RACMDEF!$J:$J,'Mapping (1)'!E27))</f>
        <v>5</v>
      </c>
    </row>
    <row r="28" spans="2:14" ht="14.5" x14ac:dyDescent="0.35">
      <c r="B28" s="71" t="s">
        <v>249</v>
      </c>
      <c r="C28" s="71">
        <f>MATCH(B28,RACMDEF!$E$11:$E$33)</f>
        <v>23</v>
      </c>
      <c r="D28" s="72" cm="1">
        <f t="array" ref="D28">INDEX(RACMDEF!$B$11:$V$33,'Mapping (1)'!C28,7)</f>
        <v>5</v>
      </c>
      <c r="E28" s="72" cm="1">
        <f t="array" ref="E28">INDEX(RACMDEF!$B$11:$V$33,'Mapping (1)'!C28,9)</f>
        <v>2</v>
      </c>
      <c r="F28" s="72">
        <f>IF(COUNTIFS(RACMDEF!$H:$H,'Mapping (1)'!D28,RACMDEF!$J:$J,'Mapping (1)'!E28)=0, "", COUNTIFS(RACMDEF!$H:$H,'Mapping (1)'!D28,RACMDEF!$J:$J,'Mapping (1)'!E28))</f>
        <v>5</v>
      </c>
    </row>
  </sheetData>
  <autoFilter ref="D6:F28" xr:uid="{00000000-0009-0000-0000-000002000000}"/>
  <mergeCells count="28">
    <mergeCell ref="J5:N5"/>
    <mergeCell ref="H6:H20"/>
    <mergeCell ref="J6:J8"/>
    <mergeCell ref="K6:K8"/>
    <mergeCell ref="L6:L8"/>
    <mergeCell ref="M6:M8"/>
    <mergeCell ref="N6:N8"/>
    <mergeCell ref="J9:J11"/>
    <mergeCell ref="K9:K11"/>
    <mergeCell ref="L9:L11"/>
    <mergeCell ref="M9:M11"/>
    <mergeCell ref="N9:N11"/>
    <mergeCell ref="J12:J14"/>
    <mergeCell ref="K12:K14"/>
    <mergeCell ref="L12:L14"/>
    <mergeCell ref="M12:M14"/>
    <mergeCell ref="N12:N14"/>
    <mergeCell ref="J26:N26"/>
    <mergeCell ref="J15:J17"/>
    <mergeCell ref="K15:K17"/>
    <mergeCell ref="L15:L17"/>
    <mergeCell ref="M15:M17"/>
    <mergeCell ref="N15:N17"/>
    <mergeCell ref="J18:J20"/>
    <mergeCell ref="K18:K20"/>
    <mergeCell ref="L18:L20"/>
    <mergeCell ref="M18:M20"/>
    <mergeCell ref="N18:N20"/>
  </mergeCells>
  <conditionalFormatting sqref="D7:F28">
    <cfRule type="containsText" dxfId="23" priority="31" operator="containsText" text="Medio">
      <formula>NOT(ISERROR(SEARCH("Medio",D7)))</formula>
    </cfRule>
    <cfRule type="containsText" dxfId="22" priority="32" operator="containsText" text="Alto">
      <formula>NOT(ISERROR(SEARCH("Alto",D7)))</formula>
    </cfRule>
    <cfRule type="containsText" dxfId="21" priority="33" operator="containsText" text="Bajo">
      <formula>NOT(ISERROR(SEARCH("Bajo",D7)))</formula>
    </cfRule>
    <cfRule type="containsText" dxfId="20" priority="34" operator="containsText" text="Medio">
      <formula>NOT(ISERROR(SEARCH("Medio",D7)))</formula>
    </cfRule>
    <cfRule type="containsText" dxfId="19" priority="35" operator="containsText" text="Alto">
      <formula>NOT(ISERROR(SEARCH("Alto",D7)))</formula>
    </cfRule>
  </conditionalFormatting>
  <pageMargins left="0.7" right="0.7" top="0.75" bottom="0.75" header="0.3" footer="0.3"/>
  <pageSetup orientation="portrait" horizontalDpi="4294967295" verticalDpi="4294967295" r:id="rId1"/>
  <ignoredErrors>
    <ignoredError sqref="C7:F19 C22:F28 C20:C21 D20:F21"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R28"/>
  <sheetViews>
    <sheetView showGridLines="0" topLeftCell="A4" zoomScaleNormal="100" workbookViewId="0">
      <selection activeCell="D5" sqref="D5"/>
    </sheetView>
  </sheetViews>
  <sheetFormatPr baseColWidth="10" defaultColWidth="8.90625" defaultRowHeight="15.5" outlineLevelCol="1" x14ac:dyDescent="0.35"/>
  <cols>
    <col min="2" max="2" width="11.08984375" customWidth="1"/>
    <col min="3" max="3" width="3.6328125" hidden="1" customWidth="1" outlineLevel="1"/>
    <col min="4" max="4" width="6.36328125" style="6" customWidth="1" collapsed="1"/>
    <col min="5" max="5" width="8.36328125" style="6" customWidth="1"/>
    <col min="8" max="8" width="4.6328125" customWidth="1"/>
    <col min="10" max="10" width="12.6328125" customWidth="1"/>
    <col min="11" max="11" width="16.6328125" customWidth="1"/>
    <col min="12" max="12" width="14.90625" customWidth="1"/>
    <col min="13" max="13" width="17.08984375" customWidth="1"/>
    <col min="14" max="14" width="16.36328125" customWidth="1"/>
    <col min="15" max="15" width="6.36328125" customWidth="1"/>
    <col min="16" max="16" width="15.6328125" bestFit="1" customWidth="1"/>
    <col min="17" max="17" width="1.6328125" customWidth="1"/>
  </cols>
  <sheetData>
    <row r="4" spans="2:18" ht="16" thickBot="1" x14ac:dyDescent="0.4"/>
    <row r="5" spans="2:18" ht="20" customHeight="1" thickBot="1" x14ac:dyDescent="0.4">
      <c r="J5" s="138" t="s">
        <v>293</v>
      </c>
      <c r="K5" s="139"/>
      <c r="L5" s="139"/>
      <c r="M5" s="139"/>
      <c r="N5" s="140"/>
    </row>
    <row r="6" spans="2:18" ht="14.75" customHeight="1" x14ac:dyDescent="0.35">
      <c r="B6" s="69" t="s">
        <v>50</v>
      </c>
      <c r="C6" s="70" t="s">
        <v>285</v>
      </c>
      <c r="D6" s="81" t="s">
        <v>290</v>
      </c>
      <c r="E6" s="81" t="s">
        <v>291</v>
      </c>
      <c r="F6" s="81" t="s">
        <v>286</v>
      </c>
      <c r="H6" s="141" t="s">
        <v>281</v>
      </c>
      <c r="I6" s="83"/>
      <c r="J6" s="146"/>
      <c r="K6" s="146"/>
      <c r="L6" s="149"/>
      <c r="M6" s="149"/>
      <c r="N6" s="149"/>
      <c r="P6" s="75" t="s">
        <v>292</v>
      </c>
      <c r="Q6" s="79"/>
      <c r="R6" s="73"/>
    </row>
    <row r="7" spans="2:18" x14ac:dyDescent="0.35">
      <c r="B7" s="71" t="s">
        <v>56</v>
      </c>
      <c r="C7" s="71">
        <f>MATCH(B7,RACMDEF!$E$11:$E$33)</f>
        <v>2</v>
      </c>
      <c r="D7" s="72" cm="1">
        <f t="array" ref="D7">INDEX(RACMDEF!$B$11:$V$33,'Mapping (1)'!C7,7)</f>
        <v>5</v>
      </c>
      <c r="E7" s="72" cm="1">
        <f t="array" ref="E7">INDEX(RACMDEF!$B$11:$V$33,'Mapping (1)'!C7,9)</f>
        <v>4</v>
      </c>
      <c r="F7" s="72">
        <f>IF(COUNTIFS(RACMDEF!$H:$H,'Mapping (1)'!D7,RACMDEF!$J:$J,'Mapping (1)'!E7)=0, "", COUNTIFS(RACMDEF!$H:$H,'Mapping (1)'!D7,RACMDEF!$J:$J,'Mapping (1)'!E7))</f>
        <v>4</v>
      </c>
      <c r="H7" s="141"/>
      <c r="I7" s="84">
        <v>5</v>
      </c>
      <c r="J7" s="146"/>
      <c r="K7" s="146"/>
      <c r="L7" s="149"/>
      <c r="M7" s="149"/>
      <c r="N7" s="149"/>
      <c r="P7" s="74" t="s">
        <v>287</v>
      </c>
      <c r="Q7" s="73"/>
      <c r="R7" s="76"/>
    </row>
    <row r="8" spans="2:18" ht="14.5" x14ac:dyDescent="0.35">
      <c r="B8" s="71" t="s">
        <v>83</v>
      </c>
      <c r="C8" s="71">
        <f>MATCH(B8,RACMDEF!$E$11:$E$33)</f>
        <v>3</v>
      </c>
      <c r="D8" s="72" cm="1">
        <f t="array" ref="D8">INDEX(RACMDEF!$B$11:$V$33,'Mapping (1)'!C8,7)</f>
        <v>5</v>
      </c>
      <c r="E8" s="72" cm="1">
        <f t="array" ref="E8">INDEX(RACMDEF!$B$11:$V$33,'Mapping (1)'!C8,9)</f>
        <v>2</v>
      </c>
      <c r="F8" s="72">
        <f>IF(COUNTIFS(RACMDEF!$H:$H,'Mapping (1)'!D8,RACMDEF!$J:$J,'Mapping (1)'!E8)=0, "", COUNTIFS(RACMDEF!$H:$H,'Mapping (1)'!D8,RACMDEF!$J:$J,'Mapping (1)'!E8))</f>
        <v>5</v>
      </c>
      <c r="H8" s="141"/>
      <c r="I8" s="84"/>
      <c r="J8" s="147"/>
      <c r="K8" s="147"/>
      <c r="L8" s="150"/>
      <c r="M8" s="150"/>
      <c r="N8" s="150"/>
      <c r="P8" s="74" t="s">
        <v>288</v>
      </c>
      <c r="Q8" s="73"/>
      <c r="R8" s="77"/>
    </row>
    <row r="9" spans="2:18" ht="14.5" x14ac:dyDescent="0.35">
      <c r="B9" s="71" t="s">
        <v>109</v>
      </c>
      <c r="C9" s="71">
        <f>MATCH(B9,RACMDEF!$E$11:$E$33)</f>
        <v>4</v>
      </c>
      <c r="D9" s="72" cm="1">
        <f t="array" ref="D9">INDEX(RACMDEF!$B$11:$V$33,'Mapping (1)'!C9,7)</f>
        <v>4</v>
      </c>
      <c r="E9" s="72" cm="1">
        <f t="array" ref="E9">INDEX(RACMDEF!$B$11:$V$33,'Mapping (1)'!C9,9)</f>
        <v>3</v>
      </c>
      <c r="F9" s="72">
        <f>IF(COUNTIFS(RACMDEF!$H:$H,'Mapping (1)'!D9,RACMDEF!$J:$J,'Mapping (1)'!E9)=0, "", COUNTIFS(RACMDEF!$H:$H,'Mapping (1)'!D9,RACMDEF!$J:$J,'Mapping (1)'!E9))</f>
        <v>2</v>
      </c>
      <c r="H9" s="141"/>
      <c r="I9" s="84"/>
      <c r="J9" s="142"/>
      <c r="K9" s="145"/>
      <c r="L9" s="145"/>
      <c r="M9" s="148"/>
      <c r="N9" s="148"/>
      <c r="P9" s="74" t="s">
        <v>289</v>
      </c>
      <c r="Q9" s="73"/>
      <c r="R9" s="78"/>
    </row>
    <row r="10" spans="2:18" x14ac:dyDescent="0.35">
      <c r="B10" s="71" t="s">
        <v>110</v>
      </c>
      <c r="C10" s="71">
        <f>MATCH(B10,RACMDEF!$E$11:$E$33)</f>
        <v>5</v>
      </c>
      <c r="D10" s="72" cm="1">
        <f t="array" ref="D10">INDEX(RACMDEF!$B$11:$V$33,'Mapping (1)'!C10,7)</f>
        <v>3</v>
      </c>
      <c r="E10" s="72" cm="1">
        <f t="array" ref="E10">INDEX(RACMDEF!$B$11:$V$33,'Mapping (1)'!C10,9)</f>
        <v>2</v>
      </c>
      <c r="F10" s="72">
        <f>IF(COUNTIFS(RACMDEF!$H:$H,'Mapping (1)'!D10,RACMDEF!$J:$J,'Mapping (1)'!E10)=0, "", COUNTIFS(RACMDEF!$H:$H,'Mapping (1)'!D10,RACMDEF!$J:$J,'Mapping (1)'!E10))</f>
        <v>4</v>
      </c>
      <c r="H10" s="141"/>
      <c r="I10" s="84">
        <v>4</v>
      </c>
      <c r="J10" s="143"/>
      <c r="K10" s="146"/>
      <c r="L10" s="146"/>
      <c r="M10" s="149"/>
      <c r="N10" s="149"/>
    </row>
    <row r="11" spans="2:18" ht="14.5" x14ac:dyDescent="0.35">
      <c r="B11" s="71" t="s">
        <v>111</v>
      </c>
      <c r="C11" s="71">
        <f>MATCH(B11,RACMDEF!$E$11:$E$33)</f>
        <v>6</v>
      </c>
      <c r="D11" s="72" cm="1">
        <f t="array" ref="D11">INDEX(RACMDEF!$B$11:$V$33,'Mapping (1)'!C11,7)</f>
        <v>3</v>
      </c>
      <c r="E11" s="72" cm="1">
        <f t="array" ref="E11">INDEX(RACMDEF!$B$11:$V$33,'Mapping (1)'!C11,9)</f>
        <v>3</v>
      </c>
      <c r="F11" s="72">
        <f>IF(COUNTIFS(RACMDEF!$H:$H,'Mapping (1)'!D11,RACMDEF!$J:$J,'Mapping (1)'!E11)=0, "", COUNTIFS(RACMDEF!$H:$H,'Mapping (1)'!D11,RACMDEF!$J:$J,'Mapping (1)'!E11))</f>
        <v>2</v>
      </c>
      <c r="H11" s="141"/>
      <c r="I11" s="84"/>
      <c r="J11" s="144"/>
      <c r="K11" s="147"/>
      <c r="L11" s="147"/>
      <c r="M11" s="150"/>
      <c r="N11" s="150"/>
    </row>
    <row r="12" spans="2:18" ht="14.5" x14ac:dyDescent="0.35">
      <c r="B12" s="71" t="s">
        <v>112</v>
      </c>
      <c r="C12" s="71">
        <f>MATCH(B12,RACMDEF!$E$11:$E$33)</f>
        <v>7</v>
      </c>
      <c r="D12" s="72" cm="1">
        <f t="array" ref="D12">INDEX(RACMDEF!$B$11:$V$33,'Mapping (1)'!C12,7)</f>
        <v>4</v>
      </c>
      <c r="E12" s="72" cm="1">
        <f t="array" ref="E12">INDEX(RACMDEF!$B$11:$V$33,'Mapping (1)'!C12,9)</f>
        <v>2</v>
      </c>
      <c r="F12" s="72">
        <f>IF(COUNTIFS(RACMDEF!$H:$H,'Mapping (1)'!D12,RACMDEF!$J:$J,'Mapping (1)'!E12)=0, "", COUNTIFS(RACMDEF!$H:$H,'Mapping (1)'!D12,RACMDEF!$J:$J,'Mapping (1)'!E12))</f>
        <v>2</v>
      </c>
      <c r="H12" s="141"/>
      <c r="I12" s="84"/>
      <c r="J12" s="142"/>
      <c r="K12" s="145"/>
      <c r="L12" s="145"/>
      <c r="M12" s="148"/>
      <c r="N12" s="148"/>
    </row>
    <row r="13" spans="2:18" ht="21" x14ac:dyDescent="0.35">
      <c r="B13" s="71" t="s">
        <v>114</v>
      </c>
      <c r="C13" s="71">
        <f>MATCH(B13,RACMDEF!$E$11:$E$33)</f>
        <v>8</v>
      </c>
      <c r="D13" s="72" cm="1">
        <f t="array" ref="D13">INDEX(RACMDEF!$B$11:$V$33,'Mapping (1)'!C13,7)</f>
        <v>4</v>
      </c>
      <c r="E13" s="72" cm="1">
        <f t="array" ref="E13">INDEX(RACMDEF!$B$11:$V$33,'Mapping (1)'!C13,9)</f>
        <v>2</v>
      </c>
      <c r="F13" s="72">
        <f>IF(COUNTIFS(RACMDEF!$H:$H,'Mapping (1)'!D13,RACMDEF!$J:$J,'Mapping (1)'!E13)=0, "", COUNTIFS(RACMDEF!$H:$H,'Mapping (1)'!D13,RACMDEF!$J:$J,'Mapping (1)'!E13))</f>
        <v>2</v>
      </c>
      <c r="H13" s="141"/>
      <c r="I13" s="84">
        <v>3</v>
      </c>
      <c r="J13" s="143"/>
      <c r="K13" s="146"/>
      <c r="L13" s="146"/>
      <c r="M13" s="149"/>
      <c r="N13" s="149"/>
      <c r="O13" s="82"/>
      <c r="P13" s="80"/>
    </row>
    <row r="14" spans="2:18" ht="14.5" x14ac:dyDescent="0.35">
      <c r="B14" s="71" t="s">
        <v>115</v>
      </c>
      <c r="C14" s="71">
        <f>MATCH(B14,RACMDEF!$E$11:$E$33)</f>
        <v>9</v>
      </c>
      <c r="D14" s="72" cm="1">
        <f t="array" ref="D14">INDEX(RACMDEF!$B$11:$V$33,'Mapping (1)'!C14,7)</f>
        <v>4</v>
      </c>
      <c r="E14" s="72" cm="1">
        <f t="array" ref="E14">INDEX(RACMDEF!$B$11:$V$33,'Mapping (1)'!C14,9)</f>
        <v>3</v>
      </c>
      <c r="F14" s="72">
        <f>IF(COUNTIFS(RACMDEF!$H:$H,'Mapping (1)'!D14,RACMDEF!$J:$J,'Mapping (1)'!E14)=0, "", COUNTIFS(RACMDEF!$H:$H,'Mapping (1)'!D14,RACMDEF!$J:$J,'Mapping (1)'!E14))</f>
        <v>2</v>
      </c>
      <c r="H14" s="141"/>
      <c r="I14" s="84"/>
      <c r="J14" s="144"/>
      <c r="K14" s="147"/>
      <c r="L14" s="147"/>
      <c r="M14" s="150"/>
      <c r="N14" s="150"/>
    </row>
    <row r="15" spans="2:18" ht="14.5" x14ac:dyDescent="0.35">
      <c r="B15" s="71" t="s">
        <v>116</v>
      </c>
      <c r="C15" s="71">
        <f>MATCH(B15,RACMDEF!$E$11:$E$33)</f>
        <v>10</v>
      </c>
      <c r="D15" s="72" cm="1">
        <f t="array" ref="D15">INDEX(RACMDEF!$B$11:$V$33,'Mapping (1)'!C15,7)</f>
        <v>3</v>
      </c>
      <c r="E15" s="72" cm="1">
        <f t="array" ref="E15">INDEX(RACMDEF!$B$11:$V$33,'Mapping (1)'!C15,9)</f>
        <v>4</v>
      </c>
      <c r="F15" s="72">
        <f>IF(COUNTIFS(RACMDEF!$H:$H,'Mapping (1)'!D15,RACMDEF!$J:$J,'Mapping (1)'!E15)=0, "", COUNTIFS(RACMDEF!$H:$H,'Mapping (1)'!D15,RACMDEF!$J:$J,'Mapping (1)'!E15))</f>
        <v>1</v>
      </c>
      <c r="H15" s="141"/>
      <c r="I15" s="84"/>
      <c r="J15" s="142"/>
      <c r="K15" s="142"/>
      <c r="L15" s="145"/>
      <c r="M15" s="145"/>
      <c r="N15" s="148"/>
    </row>
    <row r="16" spans="2:18" x14ac:dyDescent="0.35">
      <c r="B16" s="71" t="s">
        <v>127</v>
      </c>
      <c r="C16" s="71">
        <f>MATCH(B16,RACMDEF!$E$11:$E$33)</f>
        <v>11</v>
      </c>
      <c r="D16" s="72" cm="1">
        <f t="array" ref="D16">INDEX(RACMDEF!$B$11:$V$33,'Mapping (1)'!C16,7)</f>
        <v>2</v>
      </c>
      <c r="E16" s="72" cm="1">
        <f t="array" ref="E16">INDEX(RACMDEF!$B$11:$V$33,'Mapping (1)'!C16,9)</f>
        <v>3</v>
      </c>
      <c r="F16" s="72">
        <f>IF(COUNTIFS(RACMDEF!$H:$H,'Mapping (1)'!D16,RACMDEF!$J:$J,'Mapping (1)'!E16)=0, "", COUNTIFS(RACMDEF!$H:$H,'Mapping (1)'!D16,RACMDEF!$J:$J,'Mapping (1)'!E16))</f>
        <v>1</v>
      </c>
      <c r="H16" s="141"/>
      <c r="I16" s="84">
        <v>2</v>
      </c>
      <c r="J16" s="143"/>
      <c r="K16" s="143"/>
      <c r="L16" s="146"/>
      <c r="M16" s="146"/>
      <c r="N16" s="149"/>
    </row>
    <row r="17" spans="2:14" ht="14.5" x14ac:dyDescent="0.35">
      <c r="B17" s="71" t="s">
        <v>128</v>
      </c>
      <c r="C17" s="71">
        <f>MATCH(B17,RACMDEF!$E$11:$E$33)</f>
        <v>12</v>
      </c>
      <c r="D17" s="72" cm="1">
        <f t="array" ref="D17">INDEX(RACMDEF!$B$11:$V$33,'Mapping (1)'!C17,7)</f>
        <v>3</v>
      </c>
      <c r="E17" s="72" cm="1">
        <f t="array" ref="E17">INDEX(RACMDEF!$B$11:$V$33,'Mapping (1)'!C17,9)</f>
        <v>2</v>
      </c>
      <c r="F17" s="72">
        <f>IF(COUNTIFS(RACMDEF!$H:$H,'Mapping (1)'!D17,RACMDEF!$J:$J,'Mapping (1)'!E17)=0, "", COUNTIFS(RACMDEF!$H:$H,'Mapping (1)'!D17,RACMDEF!$J:$J,'Mapping (1)'!E17))</f>
        <v>4</v>
      </c>
      <c r="H17" s="141"/>
      <c r="I17" s="85"/>
      <c r="J17" s="144"/>
      <c r="K17" s="144"/>
      <c r="L17" s="147"/>
      <c r="M17" s="147"/>
      <c r="N17" s="150"/>
    </row>
    <row r="18" spans="2:14" ht="14.5" x14ac:dyDescent="0.35">
      <c r="B18" s="71" t="s">
        <v>113</v>
      </c>
      <c r="C18" s="71">
        <f>MATCH(B18,RACMDEF!$E$11:$E$33)</f>
        <v>14</v>
      </c>
      <c r="D18" s="72" cm="1">
        <f t="array" ref="D18">INDEX(RACMDEF!$B$11:$V$33,'Mapping (1)'!C18,7)</f>
        <v>5</v>
      </c>
      <c r="E18" s="72" cm="1">
        <f t="array" ref="E18">INDEX(RACMDEF!$B$11:$V$33,'Mapping (1)'!C18,9)</f>
        <v>3</v>
      </c>
      <c r="F18" s="72">
        <f>IF(COUNTIFS(RACMDEF!$H:$H,'Mapping (1)'!D18,RACMDEF!$J:$J,'Mapping (1)'!E18)=0, "", COUNTIFS(RACMDEF!$H:$H,'Mapping (1)'!D18,RACMDEF!$J:$J,'Mapping (1)'!E18))</f>
        <v>1</v>
      </c>
      <c r="H18" s="141"/>
      <c r="I18" s="85"/>
      <c r="J18" s="142"/>
      <c r="K18" s="142"/>
      <c r="L18" s="142"/>
      <c r="M18" s="145"/>
      <c r="N18" s="145"/>
    </row>
    <row r="19" spans="2:14" x14ac:dyDescent="0.35">
      <c r="B19" s="71" t="s">
        <v>113</v>
      </c>
      <c r="C19" s="71">
        <f>MATCH(B19,RACMDEF!$E$11:$E$33)</f>
        <v>14</v>
      </c>
      <c r="D19" s="72" cm="1">
        <f t="array" ref="D19">INDEX(RACMDEF!$B$11:$V$33,'Mapping (1)'!C19,7)</f>
        <v>5</v>
      </c>
      <c r="E19" s="72" cm="1">
        <f t="array" ref="E19">INDEX(RACMDEF!$B$11:$V$33,'Mapping (1)'!C19,9)</f>
        <v>3</v>
      </c>
      <c r="F19" s="72">
        <f>IF(COUNTIFS(RACMDEF!$H:$H,'Mapping (1)'!D19,RACMDEF!$J:$J,'Mapping (1)'!E19)=0, "", COUNTIFS(RACMDEF!$H:$H,'Mapping (1)'!D19,RACMDEF!$J:$J,'Mapping (1)'!E19))</f>
        <v>1</v>
      </c>
      <c r="H19" s="141"/>
      <c r="I19" s="86">
        <v>1</v>
      </c>
      <c r="J19" s="143"/>
      <c r="K19" s="143"/>
      <c r="L19" s="143"/>
      <c r="M19" s="146"/>
      <c r="N19" s="146"/>
    </row>
    <row r="20" spans="2:14" ht="14.5" x14ac:dyDescent="0.35">
      <c r="B20" s="71" t="s">
        <v>129</v>
      </c>
      <c r="C20" s="71">
        <f>MATCH(B20,RACMDEF!$E$11:$E$33)</f>
        <v>15</v>
      </c>
      <c r="D20" s="72" cm="1">
        <f t="array" ref="D20">INDEX(RACMDEF!$B$11:$V$33,'Mapping (1)'!C20,7)</f>
        <v>3</v>
      </c>
      <c r="E20" s="72" cm="1">
        <f t="array" ref="E20">INDEX(RACMDEF!$B$11:$V$33,'Mapping (1)'!C20,9)</f>
        <v>3</v>
      </c>
      <c r="F20" s="72">
        <f>IF(COUNTIFS(RACMDEF!$H:$H,'Mapping (1)'!D20,RACMDEF!$J:$J,'Mapping (1)'!E20)=0, "", COUNTIFS(RACMDEF!$H:$H,'Mapping (1)'!D20,RACMDEF!$J:$J,'Mapping (1)'!E20))</f>
        <v>2</v>
      </c>
      <c r="H20" s="141"/>
      <c r="J20" s="144"/>
      <c r="K20" s="144"/>
      <c r="L20" s="144"/>
      <c r="M20" s="147"/>
      <c r="N20" s="147"/>
    </row>
    <row r="21" spans="2:14" ht="14.5" x14ac:dyDescent="0.35">
      <c r="B21" s="71" t="s">
        <v>130</v>
      </c>
      <c r="C21" s="71">
        <f>MATCH(B21,RACMDEF!$E$11:$E$33)</f>
        <v>16</v>
      </c>
      <c r="D21" s="72" cm="1">
        <f t="array" ref="D21">INDEX(RACMDEF!$B$11:$V$33,'Mapping (1)'!C21,7)</f>
        <v>3</v>
      </c>
      <c r="E21" s="72" cm="1">
        <f t="array" ref="E21">INDEX(RACMDEF!$B$11:$V$33,'Mapping (1)'!C21,9)</f>
        <v>2</v>
      </c>
      <c r="F21" s="72">
        <f>IF(COUNTIFS(RACMDEF!$H:$H,'Mapping (1)'!D21,RACMDEF!$J:$J,'Mapping (1)'!E21)=0, "", COUNTIFS(RACMDEF!$H:$H,'Mapping (1)'!D21,RACMDEF!$J:$J,'Mapping (1)'!E21))</f>
        <v>4</v>
      </c>
    </row>
    <row r="22" spans="2:14" ht="14.5" x14ac:dyDescent="0.35">
      <c r="B22" s="71" t="s">
        <v>222</v>
      </c>
      <c r="C22" s="71">
        <f>MATCH(B22,RACMDEF!$E$11:$E$33)</f>
        <v>18</v>
      </c>
      <c r="D22" s="72" cm="1">
        <f t="array" ref="D22">INDEX(RACMDEF!$B$11:$V$33,'Mapping (1)'!C22,7)</f>
        <v>5</v>
      </c>
      <c r="E22" s="72" cm="1">
        <f t="array" ref="E22">INDEX(RACMDEF!$B$11:$V$33,'Mapping (1)'!C22,9)</f>
        <v>4</v>
      </c>
      <c r="F22" s="72">
        <f>IF(COUNTIFS(RACMDEF!$H:$H,'Mapping (1)'!D22,RACMDEF!$J:$J,'Mapping (1)'!E22)=0, "", COUNTIFS(RACMDEF!$H:$H,'Mapping (1)'!D22,RACMDEF!$J:$J,'Mapping (1)'!E22))</f>
        <v>4</v>
      </c>
      <c r="J22" s="87">
        <v>1</v>
      </c>
      <c r="K22" s="87">
        <v>2</v>
      </c>
      <c r="L22" s="87">
        <v>3</v>
      </c>
      <c r="M22" s="87">
        <v>4</v>
      </c>
      <c r="N22" s="87">
        <v>5</v>
      </c>
    </row>
    <row r="23" spans="2:14" ht="14.5" x14ac:dyDescent="0.35">
      <c r="B23" s="71" t="s">
        <v>222</v>
      </c>
      <c r="C23" s="71">
        <f>MATCH(B23,RACMDEF!$E$11:$E$33)</f>
        <v>18</v>
      </c>
      <c r="D23" s="72" cm="1">
        <f t="array" ref="D23">INDEX(RACMDEF!$B$11:$V$33,'Mapping (1)'!C23,7)</f>
        <v>5</v>
      </c>
      <c r="E23" s="72" cm="1">
        <f t="array" ref="E23">INDEX(RACMDEF!$B$11:$V$33,'Mapping (1)'!C23,9)</f>
        <v>4</v>
      </c>
      <c r="F23" s="72">
        <f>IF(COUNTIFS(RACMDEF!$H:$H,'Mapping (1)'!D23,RACMDEF!$J:$J,'Mapping (1)'!E23)=0, "", COUNTIFS(RACMDEF!$H:$H,'Mapping (1)'!D23,RACMDEF!$J:$J,'Mapping (1)'!E23))</f>
        <v>4</v>
      </c>
      <c r="J23" s="131" t="s">
        <v>284</v>
      </c>
      <c r="K23" s="131"/>
      <c r="L23" s="131"/>
      <c r="M23" s="131"/>
      <c r="N23" s="131"/>
    </row>
    <row r="24" spans="2:14" ht="14.5" x14ac:dyDescent="0.35">
      <c r="B24" s="71" t="s">
        <v>223</v>
      </c>
      <c r="C24" s="71">
        <f>MATCH(B24,RACMDEF!$E$11:$E$33)</f>
        <v>19</v>
      </c>
      <c r="D24" s="72" cm="1">
        <f t="array" ref="D24">INDEX(RACMDEF!$B$11:$V$33,'Mapping (1)'!C24,7)</f>
        <v>5</v>
      </c>
      <c r="E24" s="72" cm="1">
        <f t="array" ref="E24">INDEX(RACMDEF!$B$11:$V$33,'Mapping (1)'!C24,9)</f>
        <v>4</v>
      </c>
      <c r="F24" s="72">
        <f>IF(COUNTIFS(RACMDEF!$H:$H,'Mapping (1)'!D24,RACMDEF!$J:$J,'Mapping (1)'!E24)=0, "", COUNTIFS(RACMDEF!$H:$H,'Mapping (1)'!D24,RACMDEF!$J:$J,'Mapping (1)'!E24))</f>
        <v>4</v>
      </c>
    </row>
    <row r="25" spans="2:14" ht="14.5" x14ac:dyDescent="0.35">
      <c r="B25" s="71" t="s">
        <v>224</v>
      </c>
      <c r="C25" s="71">
        <f>MATCH(B25,RACMDEF!$E$11:$E$33)</f>
        <v>20</v>
      </c>
      <c r="D25" s="72" cm="1">
        <f t="array" ref="D25">INDEX(RACMDEF!$B$11:$V$33,'Mapping (1)'!C25,7)</f>
        <v>3</v>
      </c>
      <c r="E25" s="72" cm="1">
        <f t="array" ref="E25">INDEX(RACMDEF!$B$11:$V$33,'Mapping (1)'!C25,9)</f>
        <v>2</v>
      </c>
      <c r="F25" s="72">
        <f>IF(COUNTIFS(RACMDEF!$H:$H,'Mapping (1)'!D25,RACMDEF!$J:$J,'Mapping (1)'!E25)=0, "", COUNTIFS(RACMDEF!$H:$H,'Mapping (1)'!D25,RACMDEF!$J:$J,'Mapping (1)'!E25))</f>
        <v>4</v>
      </c>
    </row>
    <row r="26" spans="2:14" ht="14.5" x14ac:dyDescent="0.35">
      <c r="B26" s="71" t="s">
        <v>225</v>
      </c>
      <c r="C26" s="71">
        <f>MATCH(B26,RACMDEF!$E$11:$E$33)</f>
        <v>21</v>
      </c>
      <c r="D26" s="72" cm="1">
        <f t="array" ref="D26">INDEX(RACMDEF!$B$11:$V$33,'Mapping (1)'!C26,7)</f>
        <v>5</v>
      </c>
      <c r="E26" s="72" cm="1">
        <f t="array" ref="E26">INDEX(RACMDEF!$B$11:$V$33,'Mapping (1)'!C26,9)</f>
        <v>2</v>
      </c>
      <c r="F26" s="72">
        <f>IF(COUNTIFS(RACMDEF!$H:$H,'Mapping (1)'!D26,RACMDEF!$J:$J,'Mapping (1)'!E26)=0, "", COUNTIFS(RACMDEF!$H:$H,'Mapping (1)'!D26,RACMDEF!$J:$J,'Mapping (1)'!E26))</f>
        <v>5</v>
      </c>
    </row>
    <row r="27" spans="2:14" ht="14.5" x14ac:dyDescent="0.35">
      <c r="B27" s="71" t="s">
        <v>249</v>
      </c>
      <c r="C27" s="71">
        <f>MATCH(B27,RACMDEF!$E$11:$E$33)</f>
        <v>23</v>
      </c>
      <c r="D27" s="72" cm="1">
        <f t="array" ref="D27">INDEX(RACMDEF!$B$11:$V$33,'Mapping (1)'!C27,7)</f>
        <v>5</v>
      </c>
      <c r="E27" s="72" cm="1">
        <f t="array" ref="E27">INDEX(RACMDEF!$B$11:$V$33,'Mapping (1)'!C27,9)</f>
        <v>2</v>
      </c>
      <c r="F27" s="72">
        <f>IF(COUNTIFS(RACMDEF!$H:$H,'Mapping (1)'!D27,RACMDEF!$J:$J,'Mapping (1)'!E27)=0, "", COUNTIFS(RACMDEF!$H:$H,'Mapping (1)'!D27,RACMDEF!$J:$J,'Mapping (1)'!E27))</f>
        <v>5</v>
      </c>
    </row>
    <row r="28" spans="2:14" ht="14.5" x14ac:dyDescent="0.35">
      <c r="B28" s="71" t="s">
        <v>249</v>
      </c>
      <c r="C28" s="71">
        <f>MATCH(B28,RACMDEF!$E$11:$E$33)</f>
        <v>23</v>
      </c>
      <c r="D28" s="72" cm="1">
        <f t="array" ref="D28">INDEX(RACMDEF!$B$11:$V$33,'Mapping (1)'!C28,7)</f>
        <v>5</v>
      </c>
      <c r="E28" s="72" cm="1">
        <f t="array" ref="E28">INDEX(RACMDEF!$B$11:$V$33,'Mapping (1)'!C28,9)</f>
        <v>2</v>
      </c>
      <c r="F28" s="72">
        <f>IF(COUNTIFS(RACMDEF!$H:$H,'Mapping (1)'!D28,RACMDEF!$J:$J,'Mapping (1)'!E28)=0, "", COUNTIFS(RACMDEF!$H:$H,'Mapping (1)'!D28,RACMDEF!$J:$J,'Mapping (1)'!E28))</f>
        <v>5</v>
      </c>
    </row>
  </sheetData>
  <autoFilter ref="D6:F25" xr:uid="{00000000-0009-0000-0000-000003000000}"/>
  <mergeCells count="28">
    <mergeCell ref="H6:H20"/>
    <mergeCell ref="J23:N23"/>
    <mergeCell ref="L12:L14"/>
    <mergeCell ref="M12:M14"/>
    <mergeCell ref="N12:N14"/>
    <mergeCell ref="K15:K17"/>
    <mergeCell ref="L15:L17"/>
    <mergeCell ref="M15:M17"/>
    <mergeCell ref="N15:N17"/>
    <mergeCell ref="J18:J20"/>
    <mergeCell ref="K6:K8"/>
    <mergeCell ref="L6:L8"/>
    <mergeCell ref="M6:M8"/>
    <mergeCell ref="N6:N8"/>
    <mergeCell ref="K9:K11"/>
    <mergeCell ref="L9:L11"/>
    <mergeCell ref="J5:N5"/>
    <mergeCell ref="K18:K20"/>
    <mergeCell ref="L18:L20"/>
    <mergeCell ref="M18:M20"/>
    <mergeCell ref="N18:N20"/>
    <mergeCell ref="M9:M11"/>
    <mergeCell ref="N9:N11"/>
    <mergeCell ref="J6:J8"/>
    <mergeCell ref="J9:J11"/>
    <mergeCell ref="J12:J14"/>
    <mergeCell ref="J15:J17"/>
    <mergeCell ref="K12:K14"/>
  </mergeCells>
  <conditionalFormatting sqref="D7:F28">
    <cfRule type="containsText" dxfId="18" priority="1" operator="containsText" text="Medio">
      <formula>NOT(ISERROR(SEARCH("Medio",D7)))</formula>
    </cfRule>
    <cfRule type="containsText" dxfId="17" priority="2" operator="containsText" text="Alto">
      <formula>NOT(ISERROR(SEARCH("Alto",D7)))</formula>
    </cfRule>
    <cfRule type="containsText" dxfId="16" priority="3" operator="containsText" text="Bajo">
      <formula>NOT(ISERROR(SEARCH("Bajo",D7)))</formula>
    </cfRule>
    <cfRule type="containsText" dxfId="15" priority="4" operator="containsText" text="Medio">
      <formula>NOT(ISERROR(SEARCH("Medio",D7)))</formula>
    </cfRule>
    <cfRule type="containsText" dxfId="14" priority="5" operator="containsText" text="Alto">
      <formula>NOT(ISERROR(SEARCH("Alto",D7)))</formula>
    </cfRule>
  </conditionalFormatting>
  <pageMargins left="0.7" right="0.7" top="0.75" bottom="0.75" header="0.3" footer="0.3"/>
  <pageSetup orientation="portrait" horizontalDpi="4294967295" verticalDpi="4294967295" r:id="rId1"/>
  <ignoredErrors>
    <ignoredError sqref="C7:F28"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5"/>
  <sheetViews>
    <sheetView workbookViewId="0"/>
  </sheetViews>
  <sheetFormatPr baseColWidth="10" defaultColWidth="8.90625" defaultRowHeight="14.5" x14ac:dyDescent="0.35"/>
  <cols>
    <col min="2" max="2" width="33.6328125" customWidth="1"/>
    <col min="3" max="3" width="101.6328125" customWidth="1"/>
    <col min="4" max="4" width="20.453125" customWidth="1"/>
    <col min="5" max="6" width="60.6328125" customWidth="1"/>
    <col min="7" max="7" width="16.54296875" customWidth="1"/>
    <col min="8" max="8" width="61" customWidth="1"/>
    <col min="9" max="10" width="74.54296875" customWidth="1"/>
    <col min="11" max="11" width="14" customWidth="1"/>
    <col min="12" max="12" width="16" customWidth="1"/>
    <col min="13" max="13" width="16.6328125" customWidth="1"/>
    <col min="14" max="14" width="11.453125" customWidth="1"/>
    <col min="15" max="16" width="14.36328125" customWidth="1"/>
  </cols>
  <sheetData>
    <row r="2" spans="2:16" ht="31" x14ac:dyDescent="0.35">
      <c r="B2" s="36" t="s">
        <v>162</v>
      </c>
      <c r="C2" s="36" t="s">
        <v>161</v>
      </c>
      <c r="D2" s="36" t="s">
        <v>50</v>
      </c>
      <c r="E2" s="36" t="s">
        <v>79</v>
      </c>
      <c r="F2" s="36" t="s">
        <v>78</v>
      </c>
      <c r="G2" s="37" t="s">
        <v>59</v>
      </c>
      <c r="H2" s="38" t="s">
        <v>62</v>
      </c>
      <c r="I2" s="38" t="s">
        <v>63</v>
      </c>
      <c r="J2" s="38" t="s">
        <v>160</v>
      </c>
      <c r="K2" s="8" t="s">
        <v>58</v>
      </c>
      <c r="L2" s="7" t="s">
        <v>1</v>
      </c>
      <c r="M2" s="7" t="s">
        <v>2</v>
      </c>
      <c r="N2" s="8" t="s">
        <v>4</v>
      </c>
      <c r="O2" s="7" t="s">
        <v>5</v>
      </c>
      <c r="P2" s="7" t="s">
        <v>6</v>
      </c>
    </row>
    <row r="3" spans="2:16" ht="217.5" customHeight="1" x14ac:dyDescent="0.35">
      <c r="B3" s="39" t="s">
        <v>42</v>
      </c>
      <c r="C3" s="53" t="s">
        <v>156</v>
      </c>
      <c r="D3" s="39" t="s">
        <v>56</v>
      </c>
      <c r="E3" s="39" t="s">
        <v>163</v>
      </c>
      <c r="F3" s="39" t="s">
        <v>170</v>
      </c>
      <c r="G3" s="39" t="s">
        <v>87</v>
      </c>
      <c r="H3" s="39" t="s">
        <v>95</v>
      </c>
      <c r="I3" s="39" t="s">
        <v>167</v>
      </c>
      <c r="J3" s="39" t="s">
        <v>164</v>
      </c>
      <c r="K3" s="40"/>
      <c r="L3" s="47"/>
      <c r="M3" s="41" t="s">
        <v>75</v>
      </c>
      <c r="N3" s="42" t="s">
        <v>76</v>
      </c>
      <c r="O3" s="42" t="s">
        <v>77</v>
      </c>
      <c r="P3" s="43" t="s">
        <v>71</v>
      </c>
    </row>
    <row r="4" spans="2:16" ht="332.5" x14ac:dyDescent="0.35">
      <c r="B4" s="39" t="s">
        <v>44</v>
      </c>
      <c r="C4" s="53" t="s">
        <v>157</v>
      </c>
      <c r="D4" s="39" t="s">
        <v>83</v>
      </c>
      <c r="E4" s="39" t="s">
        <v>163</v>
      </c>
      <c r="F4" s="39" t="s">
        <v>169</v>
      </c>
      <c r="G4" s="46" t="s">
        <v>93</v>
      </c>
      <c r="H4" s="39" t="s">
        <v>187</v>
      </c>
      <c r="I4" s="39" t="s">
        <v>168</v>
      </c>
      <c r="J4" s="39" t="s">
        <v>165</v>
      </c>
      <c r="K4" s="40"/>
      <c r="L4" s="47"/>
      <c r="M4" s="41" t="s">
        <v>75</v>
      </c>
      <c r="N4" s="42" t="s">
        <v>76</v>
      </c>
      <c r="O4" s="42" t="s">
        <v>77</v>
      </c>
      <c r="P4" s="43" t="s">
        <v>71</v>
      </c>
    </row>
    <row r="5" spans="2:16" ht="157.5" x14ac:dyDescent="0.35">
      <c r="B5" s="39" t="s">
        <v>46</v>
      </c>
      <c r="C5" s="45" t="s">
        <v>158</v>
      </c>
      <c r="D5" s="39" t="s">
        <v>109</v>
      </c>
      <c r="E5" s="39" t="s">
        <v>163</v>
      </c>
      <c r="F5" s="39" t="s">
        <v>171</v>
      </c>
      <c r="G5" s="39" t="s">
        <v>131</v>
      </c>
      <c r="H5" s="51" t="s">
        <v>106</v>
      </c>
      <c r="I5" s="45" t="s">
        <v>159</v>
      </c>
      <c r="J5" s="45" t="s">
        <v>166</v>
      </c>
      <c r="K5" s="40"/>
      <c r="L5" s="47"/>
      <c r="M5" s="41" t="s">
        <v>75</v>
      </c>
      <c r="N5" s="42" t="s">
        <v>76</v>
      </c>
      <c r="O5" s="42" t="s">
        <v>77</v>
      </c>
      <c r="P5" s="43" t="s">
        <v>71</v>
      </c>
    </row>
  </sheetData>
  <conditionalFormatting sqref="G4:K4 I5:K5">
    <cfRule type="expression" dxfId="13" priority="2">
      <formula>$AY4="S"</formula>
    </cfRule>
  </conditionalFormatting>
  <conditionalFormatting sqref="H3:K3">
    <cfRule type="expression" dxfId="12" priority="1">
      <formula>$AY3="S"</formula>
    </cfRule>
  </conditionalFormatting>
  <pageMargins left="0.7" right="0.7" top="0.75" bottom="0.75" header="0.3" footer="0.3"/>
  <pageSetup orientation="portrait" horizontalDpi="30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3"/>
  <sheetViews>
    <sheetView workbookViewId="0"/>
  </sheetViews>
  <sheetFormatPr baseColWidth="10" defaultColWidth="8.90625" defaultRowHeight="14.5" x14ac:dyDescent="0.35"/>
  <cols>
    <col min="2" max="2" width="33.6328125" customWidth="1"/>
    <col min="3" max="3" width="101.6328125" customWidth="1"/>
    <col min="4" max="4" width="20.453125" customWidth="1"/>
    <col min="5" max="6" width="60.6328125" customWidth="1"/>
    <col min="7" max="7" width="16.54296875" customWidth="1"/>
    <col min="8" max="8" width="61" customWidth="1"/>
    <col min="9" max="10" width="74.54296875" customWidth="1"/>
    <col min="11" max="11" width="14" customWidth="1"/>
    <col min="12" max="12" width="16" customWidth="1"/>
    <col min="13" max="13" width="19.6328125" customWidth="1"/>
    <col min="14" max="14" width="11.453125" customWidth="1"/>
    <col min="15" max="16" width="14.36328125" customWidth="1"/>
  </cols>
  <sheetData>
    <row r="2" spans="2:16" ht="31" x14ac:dyDescent="0.35">
      <c r="B2" s="36" t="s">
        <v>162</v>
      </c>
      <c r="C2" s="36" t="s">
        <v>161</v>
      </c>
      <c r="D2" s="36" t="s">
        <v>50</v>
      </c>
      <c r="E2" s="36" t="s">
        <v>79</v>
      </c>
      <c r="F2" s="36" t="s">
        <v>78</v>
      </c>
      <c r="G2" s="37" t="s">
        <v>59</v>
      </c>
      <c r="H2" s="38" t="s">
        <v>62</v>
      </c>
      <c r="I2" s="38" t="s">
        <v>63</v>
      </c>
      <c r="J2" s="38" t="s">
        <v>160</v>
      </c>
      <c r="K2" s="8" t="s">
        <v>58</v>
      </c>
      <c r="L2" s="7" t="s">
        <v>1</v>
      </c>
      <c r="M2" s="7" t="s">
        <v>2</v>
      </c>
      <c r="N2" s="8" t="s">
        <v>4</v>
      </c>
      <c r="O2" s="7" t="s">
        <v>5</v>
      </c>
      <c r="P2" s="7" t="s">
        <v>6</v>
      </c>
    </row>
    <row r="3" spans="2:16" ht="409.6" customHeight="1" x14ac:dyDescent="0.35">
      <c r="B3" s="39" t="s">
        <v>185</v>
      </c>
      <c r="C3" s="53" t="s">
        <v>172</v>
      </c>
      <c r="D3" s="39" t="s">
        <v>110</v>
      </c>
      <c r="E3" s="39" t="s">
        <v>163</v>
      </c>
      <c r="F3" s="39" t="s">
        <v>188</v>
      </c>
      <c r="G3" s="39"/>
      <c r="H3" s="39" t="s">
        <v>187</v>
      </c>
      <c r="I3" s="39" t="s">
        <v>173</v>
      </c>
      <c r="J3" s="39" t="s">
        <v>174</v>
      </c>
      <c r="K3" s="39"/>
      <c r="L3" s="39"/>
      <c r="M3" s="41" t="s">
        <v>179</v>
      </c>
      <c r="N3" s="42" t="s">
        <v>76</v>
      </c>
      <c r="O3" s="43"/>
      <c r="P3" s="43" t="s">
        <v>71</v>
      </c>
    </row>
  </sheetData>
  <pageMargins left="0.7" right="0.7" top="0.75" bottom="0.75" header="0.3" footer="0.3"/>
  <pageSetup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3"/>
  <sheetViews>
    <sheetView workbookViewId="0"/>
  </sheetViews>
  <sheetFormatPr baseColWidth="10" defaultColWidth="8.90625" defaultRowHeight="14.5" x14ac:dyDescent="0.35"/>
  <cols>
    <col min="2" max="2" width="33.6328125" customWidth="1"/>
    <col min="3" max="3" width="101.6328125" customWidth="1"/>
    <col min="4" max="4" width="20.453125" customWidth="1"/>
    <col min="5" max="6" width="60.6328125" customWidth="1"/>
    <col min="7" max="7" width="16.54296875" customWidth="1"/>
    <col min="8" max="8" width="61" customWidth="1"/>
    <col min="9" max="10" width="74.54296875" customWidth="1"/>
    <col min="11" max="11" width="14" customWidth="1"/>
    <col min="12" max="12" width="16" customWidth="1"/>
    <col min="13" max="13" width="19" customWidth="1"/>
    <col min="14" max="14" width="11.453125" customWidth="1"/>
    <col min="15" max="16" width="14.36328125" customWidth="1"/>
  </cols>
  <sheetData>
    <row r="2" spans="2:16" ht="31" x14ac:dyDescent="0.35">
      <c r="B2" s="36" t="s">
        <v>162</v>
      </c>
      <c r="C2" s="36" t="s">
        <v>161</v>
      </c>
      <c r="D2" s="36" t="s">
        <v>50</v>
      </c>
      <c r="E2" s="36" t="s">
        <v>79</v>
      </c>
      <c r="F2" s="36" t="s">
        <v>78</v>
      </c>
      <c r="G2" s="37" t="s">
        <v>59</v>
      </c>
      <c r="H2" s="38" t="s">
        <v>62</v>
      </c>
      <c r="I2" s="38" t="s">
        <v>63</v>
      </c>
      <c r="J2" s="38" t="s">
        <v>160</v>
      </c>
      <c r="K2" s="8" t="s">
        <v>58</v>
      </c>
      <c r="L2" s="7" t="s">
        <v>1</v>
      </c>
      <c r="M2" s="7" t="s">
        <v>2</v>
      </c>
      <c r="N2" s="8" t="s">
        <v>4</v>
      </c>
      <c r="O2" s="7" t="s">
        <v>5</v>
      </c>
      <c r="P2" s="7" t="s">
        <v>6</v>
      </c>
    </row>
    <row r="3" spans="2:16" ht="409.5" x14ac:dyDescent="0.35">
      <c r="B3" s="39" t="s">
        <v>44</v>
      </c>
      <c r="C3" s="53" t="s">
        <v>175</v>
      </c>
      <c r="D3" s="39" t="s">
        <v>111</v>
      </c>
      <c r="E3" s="39" t="s">
        <v>163</v>
      </c>
      <c r="F3" s="39" t="s">
        <v>189</v>
      </c>
      <c r="G3" s="39" t="s">
        <v>87</v>
      </c>
      <c r="H3" s="39" t="s">
        <v>187</v>
      </c>
      <c r="I3" s="39" t="s">
        <v>176</v>
      </c>
      <c r="J3" s="39" t="s">
        <v>178</v>
      </c>
      <c r="K3" s="40"/>
      <c r="L3" s="47"/>
      <c r="M3" s="41" t="s">
        <v>75</v>
      </c>
      <c r="N3" s="42" t="s">
        <v>76</v>
      </c>
      <c r="O3" s="43"/>
      <c r="P3" s="43" t="s">
        <v>71</v>
      </c>
    </row>
  </sheetData>
  <conditionalFormatting sqref="H3:K3">
    <cfRule type="expression" dxfId="11" priority="1">
      <formula>$AY3="S"</formula>
    </cfRule>
  </conditionalFormatting>
  <pageMargins left="0.7" right="0.7" top="0.75" bottom="0.75" header="0.3" footer="0.3"/>
  <pageSetup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P3"/>
  <sheetViews>
    <sheetView workbookViewId="0"/>
  </sheetViews>
  <sheetFormatPr baseColWidth="10" defaultColWidth="8.90625" defaultRowHeight="14.5" x14ac:dyDescent="0.35"/>
  <cols>
    <col min="2" max="2" width="33.6328125" customWidth="1"/>
    <col min="3" max="3" width="101.6328125" customWidth="1"/>
    <col min="4" max="4" width="20.453125" customWidth="1"/>
    <col min="5" max="6" width="60.6328125" customWidth="1"/>
    <col min="7" max="7" width="16.54296875" customWidth="1"/>
    <col min="8" max="8" width="61" customWidth="1"/>
    <col min="9" max="10" width="74.54296875" customWidth="1"/>
    <col min="11" max="11" width="14" customWidth="1"/>
    <col min="12" max="12" width="16" customWidth="1"/>
    <col min="13" max="13" width="16.6328125" customWidth="1"/>
    <col min="14" max="14" width="11.453125" customWidth="1"/>
    <col min="15" max="16" width="14.36328125" customWidth="1"/>
  </cols>
  <sheetData>
    <row r="2" spans="2:16" ht="31" x14ac:dyDescent="0.35">
      <c r="B2" s="36" t="s">
        <v>162</v>
      </c>
      <c r="C2" s="36" t="s">
        <v>161</v>
      </c>
      <c r="D2" s="36" t="s">
        <v>50</v>
      </c>
      <c r="E2" s="36" t="s">
        <v>79</v>
      </c>
      <c r="F2" s="36" t="s">
        <v>78</v>
      </c>
      <c r="G2" s="37" t="s">
        <v>59</v>
      </c>
      <c r="H2" s="38" t="s">
        <v>62</v>
      </c>
      <c r="I2" s="38" t="s">
        <v>63</v>
      </c>
      <c r="J2" s="38" t="s">
        <v>160</v>
      </c>
      <c r="K2" s="8" t="s">
        <v>58</v>
      </c>
      <c r="L2" s="7" t="s">
        <v>1</v>
      </c>
      <c r="M2" s="7" t="s">
        <v>2</v>
      </c>
      <c r="N2" s="8" t="s">
        <v>4</v>
      </c>
      <c r="O2" s="7" t="s">
        <v>5</v>
      </c>
      <c r="P2" s="7" t="s">
        <v>6</v>
      </c>
    </row>
    <row r="3" spans="2:16" ht="409.5" x14ac:dyDescent="0.35">
      <c r="B3" s="39" t="s">
        <v>44</v>
      </c>
      <c r="C3" s="53" t="s">
        <v>139</v>
      </c>
      <c r="D3" s="39" t="s">
        <v>112</v>
      </c>
      <c r="E3" s="39" t="s">
        <v>163</v>
      </c>
      <c r="F3" s="43"/>
      <c r="G3" s="39" t="s">
        <v>87</v>
      </c>
      <c r="H3" s="39" t="s">
        <v>187</v>
      </c>
      <c r="I3" s="39" t="s">
        <v>177</v>
      </c>
      <c r="J3" s="39" t="s">
        <v>186</v>
      </c>
      <c r="K3" s="40"/>
      <c r="L3" s="47"/>
      <c r="M3" s="41" t="s">
        <v>75</v>
      </c>
      <c r="N3" s="42" t="s">
        <v>76</v>
      </c>
      <c r="O3" s="43"/>
      <c r="P3" s="43" t="s">
        <v>71</v>
      </c>
    </row>
  </sheetData>
  <conditionalFormatting sqref="H3:K3">
    <cfRule type="expression" dxfId="10" priority="1">
      <formula>$AY3="S"</formula>
    </cfRule>
  </conditionalFormatting>
  <pageMargins left="0.7" right="0.7" top="0.75" bottom="0.75" header="0.3" footer="0.3"/>
  <pageSetup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P3"/>
  <sheetViews>
    <sheetView workbookViewId="0"/>
  </sheetViews>
  <sheetFormatPr baseColWidth="10" defaultColWidth="8.90625" defaultRowHeight="14.5" x14ac:dyDescent="0.35"/>
  <cols>
    <col min="2" max="2" width="33.6328125" customWidth="1"/>
    <col min="3" max="3" width="101.6328125" customWidth="1"/>
    <col min="4" max="4" width="20.453125" customWidth="1"/>
    <col min="5" max="6" width="60.6328125" customWidth="1"/>
    <col min="7" max="7" width="16.54296875" customWidth="1"/>
    <col min="8" max="8" width="61" customWidth="1"/>
    <col min="9" max="10" width="74.54296875" customWidth="1"/>
    <col min="11" max="11" width="14" customWidth="1"/>
    <col min="12" max="12" width="16" customWidth="1"/>
    <col min="13" max="13" width="16.6328125" customWidth="1"/>
    <col min="14" max="14" width="11.453125" customWidth="1"/>
    <col min="15" max="16" width="14.36328125" customWidth="1"/>
  </cols>
  <sheetData>
    <row r="2" spans="2:16" ht="31" x14ac:dyDescent="0.35">
      <c r="B2" s="36" t="s">
        <v>162</v>
      </c>
      <c r="C2" s="36" t="s">
        <v>161</v>
      </c>
      <c r="D2" s="36" t="s">
        <v>50</v>
      </c>
      <c r="E2" s="36" t="s">
        <v>79</v>
      </c>
      <c r="F2" s="36" t="s">
        <v>78</v>
      </c>
      <c r="G2" s="37" t="s">
        <v>59</v>
      </c>
      <c r="H2" s="38" t="s">
        <v>62</v>
      </c>
      <c r="I2" s="38" t="s">
        <v>63</v>
      </c>
      <c r="J2" s="38" t="s">
        <v>160</v>
      </c>
      <c r="K2" s="8" t="s">
        <v>58</v>
      </c>
      <c r="L2" s="7" t="s">
        <v>1</v>
      </c>
      <c r="M2" s="7" t="s">
        <v>2</v>
      </c>
      <c r="N2" s="8" t="s">
        <v>4</v>
      </c>
      <c r="O2" s="7" t="s">
        <v>5</v>
      </c>
      <c r="P2" s="7" t="s">
        <v>6</v>
      </c>
    </row>
    <row r="3" spans="2:16" ht="52.5" x14ac:dyDescent="0.35">
      <c r="B3" s="39" t="s">
        <v>183</v>
      </c>
      <c r="C3" s="53"/>
      <c r="D3" s="39" t="s">
        <v>114</v>
      </c>
      <c r="E3" s="39" t="s">
        <v>163</v>
      </c>
      <c r="F3" s="54"/>
      <c r="G3" s="39" t="s">
        <v>87</v>
      </c>
      <c r="H3" s="39" t="s">
        <v>187</v>
      </c>
      <c r="I3" s="39"/>
      <c r="J3" s="39"/>
      <c r="K3" s="40"/>
      <c r="L3" s="47"/>
      <c r="M3" s="41" t="s">
        <v>75</v>
      </c>
      <c r="N3" s="42" t="s">
        <v>76</v>
      </c>
      <c r="O3" s="43"/>
      <c r="P3" s="43" t="s">
        <v>71</v>
      </c>
    </row>
  </sheetData>
  <conditionalFormatting sqref="H3:K3">
    <cfRule type="expression" dxfId="9" priority="1">
      <formula>$AY3="S"</formula>
    </cfRule>
  </conditionalFormatting>
  <pageMargins left="0.7" right="0.7" top="0.75" bottom="0.75" header="0.3" footer="0.3"/>
  <pageSetup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P3"/>
  <sheetViews>
    <sheetView workbookViewId="0"/>
  </sheetViews>
  <sheetFormatPr baseColWidth="10" defaultColWidth="8.90625" defaultRowHeight="14.5" x14ac:dyDescent="0.35"/>
  <cols>
    <col min="2" max="2" width="33.6328125" customWidth="1"/>
    <col min="3" max="3" width="101.6328125" customWidth="1"/>
    <col min="4" max="4" width="20.453125" customWidth="1"/>
    <col min="5" max="6" width="60.6328125" customWidth="1"/>
    <col min="7" max="7" width="16.54296875" customWidth="1"/>
    <col min="8" max="8" width="61" customWidth="1"/>
    <col min="9" max="10" width="74.54296875" customWidth="1"/>
    <col min="11" max="11" width="14" customWidth="1"/>
    <col min="12" max="12" width="16" customWidth="1"/>
    <col min="13" max="13" width="16.6328125" customWidth="1"/>
    <col min="14" max="14" width="11.453125" customWidth="1"/>
    <col min="15" max="16" width="14.36328125" customWidth="1"/>
  </cols>
  <sheetData>
    <row r="2" spans="2:16" ht="31" x14ac:dyDescent="0.35">
      <c r="B2" s="36" t="s">
        <v>162</v>
      </c>
      <c r="C2" s="36" t="s">
        <v>161</v>
      </c>
      <c r="D2" s="36" t="s">
        <v>50</v>
      </c>
      <c r="E2" s="36" t="s">
        <v>79</v>
      </c>
      <c r="F2" s="36" t="s">
        <v>78</v>
      </c>
      <c r="G2" s="37" t="s">
        <v>59</v>
      </c>
      <c r="H2" s="38" t="s">
        <v>62</v>
      </c>
      <c r="I2" s="38" t="s">
        <v>63</v>
      </c>
      <c r="J2" s="38" t="s">
        <v>160</v>
      </c>
      <c r="K2" s="8" t="s">
        <v>58</v>
      </c>
      <c r="L2" s="7" t="s">
        <v>1</v>
      </c>
      <c r="M2" s="7" t="s">
        <v>2</v>
      </c>
      <c r="N2" s="8" t="s">
        <v>4</v>
      </c>
      <c r="O2" s="7" t="s">
        <v>5</v>
      </c>
      <c r="P2" s="7" t="s">
        <v>6</v>
      </c>
    </row>
    <row r="3" spans="2:16" ht="332.5" x14ac:dyDescent="0.35">
      <c r="B3" s="39" t="s">
        <v>184</v>
      </c>
      <c r="C3" s="53" t="s">
        <v>180</v>
      </c>
      <c r="D3" s="39" t="s">
        <v>115</v>
      </c>
      <c r="E3" s="39" t="s">
        <v>163</v>
      </c>
      <c r="F3" s="39" t="s">
        <v>190</v>
      </c>
      <c r="G3" s="39" t="s">
        <v>87</v>
      </c>
      <c r="H3" s="39" t="s">
        <v>187</v>
      </c>
      <c r="I3" s="39" t="s">
        <v>181</v>
      </c>
      <c r="J3" s="39" t="s">
        <v>182</v>
      </c>
      <c r="K3" s="40"/>
      <c r="L3" s="47"/>
      <c r="M3" s="41" t="s">
        <v>75</v>
      </c>
      <c r="N3" s="42" t="s">
        <v>76</v>
      </c>
      <c r="O3" s="43"/>
      <c r="P3" s="43" t="s">
        <v>71</v>
      </c>
    </row>
  </sheetData>
  <conditionalFormatting sqref="H3:K3">
    <cfRule type="expression" dxfId="8" priority="1">
      <formula>$AY3="S"</formula>
    </cfRule>
  </conditionalFormatting>
  <pageMargins left="0.7" right="0.7" top="0.75" bottom="0.75" header="0.3" footer="0.3"/>
  <pageSetup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W27"/>
  <sheetViews>
    <sheetView workbookViewId="0"/>
  </sheetViews>
  <sheetFormatPr baseColWidth="10" defaultColWidth="8.6328125" defaultRowHeight="15.5" x14ac:dyDescent="0.35"/>
  <cols>
    <col min="1" max="1" width="8.6328125" style="6"/>
    <col min="2" max="2" width="43.6328125" style="6" customWidth="1"/>
    <col min="3" max="3" width="26.453125" style="6" customWidth="1"/>
    <col min="4" max="5" width="69.6328125" style="6" customWidth="1"/>
    <col min="6" max="6" width="20.453125" style="6" customWidth="1"/>
    <col min="7" max="8" width="60.6328125" style="6" customWidth="1"/>
    <col min="9" max="9" width="16.54296875" customWidth="1"/>
    <col min="10" max="10" width="61" style="6" customWidth="1"/>
    <col min="11" max="11" width="74.54296875" style="6" customWidth="1"/>
    <col min="12" max="12" width="17.6328125" style="6" customWidth="1"/>
    <col min="13" max="13" width="14" style="6" customWidth="1"/>
    <col min="14" max="14" width="16" style="6" customWidth="1"/>
    <col min="15" max="15" width="16.6328125" style="6" customWidth="1"/>
    <col min="16" max="16" width="11.453125" style="6" customWidth="1"/>
    <col min="17" max="18" width="14.36328125" style="6" customWidth="1"/>
    <col min="19" max="29" width="18.54296875" style="6" customWidth="1"/>
    <col min="30" max="31" width="21.36328125" style="6" customWidth="1"/>
    <col min="32" max="33" width="17.54296875" style="6" customWidth="1"/>
    <col min="34" max="35" width="17.6328125" style="6" customWidth="1"/>
    <col min="36" max="36" width="12.6328125" style="6" customWidth="1"/>
    <col min="37" max="39" width="25.6328125" style="6" customWidth="1"/>
    <col min="40" max="40" width="12.6328125" style="6" customWidth="1"/>
    <col min="41" max="43" width="25.6328125" style="6" customWidth="1"/>
    <col min="44" max="44" width="12.6328125" style="6" customWidth="1"/>
    <col min="45" max="47" width="25.6328125" style="6" customWidth="1"/>
    <col min="48" max="48" width="18.6328125" style="6" customWidth="1"/>
    <col min="49" max="49" width="40.6328125" style="6" customWidth="1"/>
    <col min="50" max="16384" width="8.6328125" style="6"/>
  </cols>
  <sheetData>
    <row r="1" spans="2:49" x14ac:dyDescent="0.35">
      <c r="L1" s="6" t="s">
        <v>61</v>
      </c>
      <c r="M1" s="6" t="s">
        <v>74</v>
      </c>
    </row>
    <row r="2" spans="2:49" ht="20" x14ac:dyDescent="0.4">
      <c r="N2" s="120" t="s">
        <v>70</v>
      </c>
      <c r="O2" s="120"/>
      <c r="P2" s="120"/>
      <c r="Q2" s="120"/>
      <c r="R2" s="120"/>
      <c r="S2" s="27" t="s">
        <v>69</v>
      </c>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row>
    <row r="3" spans="2:49" ht="72" customHeight="1" x14ac:dyDescent="0.35">
      <c r="B3" s="4"/>
      <c r="C3" s="4"/>
      <c r="D3" s="4"/>
      <c r="E3" s="4"/>
      <c r="F3" s="24" t="s">
        <v>65</v>
      </c>
      <c r="G3" s="24" t="s">
        <v>55</v>
      </c>
      <c r="H3" s="24" t="s">
        <v>80</v>
      </c>
      <c r="I3" s="25" t="s">
        <v>67</v>
      </c>
      <c r="J3" s="25" t="s">
        <v>68</v>
      </c>
      <c r="K3" s="24" t="s">
        <v>81</v>
      </c>
      <c r="L3" s="25" t="s">
        <v>66</v>
      </c>
      <c r="M3" s="25" t="s">
        <v>66</v>
      </c>
      <c r="N3" s="121" t="s">
        <v>0</v>
      </c>
      <c r="O3" s="122"/>
      <c r="P3" s="123" t="s">
        <v>3</v>
      </c>
      <c r="Q3" s="124"/>
      <c r="R3" s="124"/>
      <c r="S3" s="113" t="s">
        <v>7</v>
      </c>
      <c r="T3" s="113"/>
      <c r="U3" s="113"/>
      <c r="V3" s="113" t="s">
        <v>11</v>
      </c>
      <c r="W3" s="113"/>
      <c r="X3" s="113"/>
      <c r="Y3" s="113"/>
      <c r="Z3" s="113"/>
      <c r="AA3" s="113" t="s">
        <v>17</v>
      </c>
      <c r="AB3" s="113"/>
      <c r="AC3" s="114"/>
      <c r="AD3" s="115" t="s">
        <v>21</v>
      </c>
      <c r="AE3" s="115"/>
      <c r="AF3" s="115"/>
      <c r="AG3" s="115"/>
      <c r="AH3" s="116"/>
      <c r="AI3" s="5"/>
      <c r="AJ3" s="117" t="s">
        <v>28</v>
      </c>
      <c r="AK3" s="118"/>
      <c r="AL3" s="118"/>
      <c r="AM3" s="118"/>
      <c r="AN3" s="118"/>
      <c r="AO3" s="118"/>
      <c r="AP3" s="118"/>
      <c r="AQ3" s="118"/>
      <c r="AR3" s="118"/>
      <c r="AS3" s="118"/>
      <c r="AT3" s="118"/>
      <c r="AU3" s="118"/>
      <c r="AV3" s="119" t="s">
        <v>36</v>
      </c>
      <c r="AW3" s="119"/>
    </row>
    <row r="4" spans="2:49" ht="80.75" customHeight="1" x14ac:dyDescent="0.35">
      <c r="B4" s="7" t="s">
        <v>53</v>
      </c>
      <c r="C4" s="7" t="s">
        <v>52</v>
      </c>
      <c r="D4" s="7" t="s">
        <v>72</v>
      </c>
      <c r="E4" s="7" t="s">
        <v>73</v>
      </c>
      <c r="F4" s="7" t="s">
        <v>50</v>
      </c>
      <c r="G4" s="7" t="s">
        <v>79</v>
      </c>
      <c r="H4" s="7" t="s">
        <v>78</v>
      </c>
      <c r="I4" s="19" t="s">
        <v>59</v>
      </c>
      <c r="J4" s="7" t="s">
        <v>62</v>
      </c>
      <c r="K4" s="19" t="s">
        <v>63</v>
      </c>
      <c r="L4" s="8" t="s">
        <v>51</v>
      </c>
      <c r="M4" s="8" t="s">
        <v>58</v>
      </c>
      <c r="N4" s="7" t="s">
        <v>1</v>
      </c>
      <c r="O4" s="7" t="s">
        <v>2</v>
      </c>
      <c r="P4" s="8" t="s">
        <v>4</v>
      </c>
      <c r="Q4" s="7" t="s">
        <v>5</v>
      </c>
      <c r="R4" s="7" t="s">
        <v>6</v>
      </c>
      <c r="S4" s="9" t="s">
        <v>8</v>
      </c>
      <c r="T4" s="10" t="s">
        <v>9</v>
      </c>
      <c r="U4" s="10" t="s">
        <v>10</v>
      </c>
      <c r="V4" s="10" t="s">
        <v>12</v>
      </c>
      <c r="W4" s="10" t="s">
        <v>13</v>
      </c>
      <c r="X4" s="10" t="s">
        <v>14</v>
      </c>
      <c r="Y4" s="10" t="s">
        <v>15</v>
      </c>
      <c r="Z4" s="10" t="s">
        <v>16</v>
      </c>
      <c r="AA4" s="10" t="s">
        <v>18</v>
      </c>
      <c r="AB4" s="9" t="s">
        <v>19</v>
      </c>
      <c r="AC4" s="10" t="s">
        <v>20</v>
      </c>
      <c r="AD4" s="11" t="s">
        <v>22</v>
      </c>
      <c r="AE4" s="11" t="s">
        <v>23</v>
      </c>
      <c r="AF4" s="12" t="s">
        <v>24</v>
      </c>
      <c r="AG4" s="11" t="s">
        <v>25</v>
      </c>
      <c r="AH4" s="12" t="s">
        <v>26</v>
      </c>
      <c r="AI4" s="11" t="s">
        <v>27</v>
      </c>
      <c r="AJ4" s="13" t="s">
        <v>29</v>
      </c>
      <c r="AK4" s="13" t="s">
        <v>30</v>
      </c>
      <c r="AL4" s="13" t="s">
        <v>31</v>
      </c>
      <c r="AM4" s="13" t="s">
        <v>32</v>
      </c>
      <c r="AN4" s="14" t="s">
        <v>24</v>
      </c>
      <c r="AO4" s="14" t="s">
        <v>30</v>
      </c>
      <c r="AP4" s="14" t="s">
        <v>31</v>
      </c>
      <c r="AQ4" s="14" t="s">
        <v>33</v>
      </c>
      <c r="AR4" s="13" t="s">
        <v>34</v>
      </c>
      <c r="AS4" s="13" t="s">
        <v>30</v>
      </c>
      <c r="AT4" s="13" t="s">
        <v>31</v>
      </c>
      <c r="AU4" s="13" t="s">
        <v>35</v>
      </c>
      <c r="AV4" s="15" t="s">
        <v>37</v>
      </c>
      <c r="AW4" s="15" t="s">
        <v>38</v>
      </c>
    </row>
    <row r="5" spans="2:49" s="18" customFormat="1" ht="231" customHeight="1" x14ac:dyDescent="0.35">
      <c r="B5" s="20" t="s">
        <v>39</v>
      </c>
      <c r="C5" s="20" t="s">
        <v>49</v>
      </c>
      <c r="D5" s="20" t="s">
        <v>48</v>
      </c>
      <c r="E5" s="20" t="s">
        <v>54</v>
      </c>
      <c r="F5" s="20" t="s">
        <v>56</v>
      </c>
      <c r="G5" s="20"/>
      <c r="H5" s="20"/>
      <c r="I5" s="20" t="s">
        <v>60</v>
      </c>
      <c r="J5" s="20" t="s">
        <v>57</v>
      </c>
      <c r="K5" s="20" t="s">
        <v>82</v>
      </c>
      <c r="L5" s="22"/>
      <c r="M5" s="22"/>
      <c r="N5" s="28"/>
      <c r="O5" s="28" t="s">
        <v>75</v>
      </c>
      <c r="P5" s="29" t="s">
        <v>76</v>
      </c>
      <c r="Q5" s="29" t="s">
        <v>77</v>
      </c>
      <c r="R5" s="30" t="s">
        <v>71</v>
      </c>
      <c r="S5" s="16"/>
      <c r="T5" s="16"/>
      <c r="U5" s="16"/>
      <c r="V5" s="16"/>
      <c r="W5" s="16"/>
      <c r="X5" s="16"/>
      <c r="Y5" s="16"/>
      <c r="Z5" s="16"/>
      <c r="AA5" s="17"/>
      <c r="AB5" s="17"/>
      <c r="AC5" s="17"/>
      <c r="AD5" s="3"/>
      <c r="AE5" s="3"/>
      <c r="AF5" s="3"/>
      <c r="AG5" s="3"/>
      <c r="AH5" s="3"/>
      <c r="AI5" s="3"/>
      <c r="AJ5" s="1"/>
      <c r="AK5" s="1"/>
      <c r="AL5" s="1"/>
      <c r="AM5" s="1"/>
      <c r="AN5" s="1"/>
      <c r="AO5" s="1"/>
      <c r="AP5" s="1"/>
      <c r="AQ5" s="1"/>
      <c r="AR5" s="1"/>
      <c r="AS5" s="1"/>
      <c r="AT5" s="1"/>
      <c r="AU5" s="1"/>
      <c r="AV5" s="17"/>
      <c r="AW5" s="17"/>
    </row>
    <row r="6" spans="2:49" s="18" customFormat="1" ht="409.5" x14ac:dyDescent="0.35">
      <c r="B6" s="20" t="s">
        <v>40</v>
      </c>
      <c r="C6" s="20" t="s">
        <v>84</v>
      </c>
      <c r="D6" s="20" t="s">
        <v>48</v>
      </c>
      <c r="E6" s="20" t="s">
        <v>90</v>
      </c>
      <c r="F6" s="20" t="s">
        <v>83</v>
      </c>
      <c r="G6" s="20"/>
      <c r="H6" s="20"/>
      <c r="I6" s="21" t="s">
        <v>85</v>
      </c>
      <c r="J6" s="20" t="s">
        <v>57</v>
      </c>
      <c r="K6" s="20" t="s">
        <v>89</v>
      </c>
      <c r="L6" s="22"/>
      <c r="M6" s="22"/>
      <c r="N6" s="2"/>
      <c r="O6" s="28" t="s">
        <v>75</v>
      </c>
      <c r="P6" s="29" t="s">
        <v>76</v>
      </c>
      <c r="Q6" s="29" t="s">
        <v>77</v>
      </c>
      <c r="R6" s="30" t="s">
        <v>71</v>
      </c>
      <c r="S6" s="16"/>
      <c r="T6" s="16"/>
      <c r="U6" s="16"/>
      <c r="V6" s="16"/>
      <c r="W6" s="16"/>
      <c r="X6" s="16"/>
      <c r="Y6" s="16"/>
      <c r="Z6" s="16"/>
      <c r="AA6" s="17"/>
      <c r="AB6" s="17"/>
      <c r="AC6" s="17"/>
      <c r="AD6" s="3"/>
      <c r="AE6" s="3"/>
      <c r="AF6" s="3"/>
      <c r="AG6" s="3"/>
      <c r="AH6" s="3"/>
      <c r="AI6" s="3"/>
      <c r="AJ6" s="1"/>
      <c r="AK6" s="1"/>
      <c r="AL6" s="1"/>
      <c r="AM6" s="1"/>
      <c r="AN6" s="1"/>
      <c r="AO6" s="1"/>
      <c r="AP6" s="1"/>
      <c r="AQ6" s="1"/>
      <c r="AR6" s="1"/>
      <c r="AS6" s="1"/>
      <c r="AT6" s="1"/>
      <c r="AU6" s="1"/>
      <c r="AV6" s="17"/>
      <c r="AW6" s="17"/>
    </row>
    <row r="7" spans="2:49" s="18" customFormat="1" ht="259.5" customHeight="1" x14ac:dyDescent="0.35">
      <c r="B7" s="20" t="s">
        <v>41</v>
      </c>
      <c r="C7" s="20" t="s">
        <v>91</v>
      </c>
      <c r="D7" s="20" t="s">
        <v>48</v>
      </c>
      <c r="E7" s="20" t="s">
        <v>92</v>
      </c>
      <c r="F7" s="20" t="s">
        <v>109</v>
      </c>
      <c r="G7" s="20"/>
      <c r="H7" s="20"/>
      <c r="I7" s="21" t="s">
        <v>86</v>
      </c>
      <c r="J7" s="20" t="s">
        <v>94</v>
      </c>
      <c r="K7" s="20" t="s">
        <v>150</v>
      </c>
      <c r="L7" s="22"/>
      <c r="M7" s="22"/>
      <c r="N7" s="2"/>
      <c r="O7" s="28" t="s">
        <v>75</v>
      </c>
      <c r="P7" s="29" t="s">
        <v>76</v>
      </c>
      <c r="Q7" s="29" t="s">
        <v>77</v>
      </c>
      <c r="R7" s="30" t="s">
        <v>71</v>
      </c>
      <c r="S7" s="16"/>
      <c r="T7" s="16"/>
      <c r="U7" s="16"/>
      <c r="V7" s="16"/>
      <c r="W7" s="16"/>
      <c r="X7" s="16"/>
      <c r="Y7" s="16"/>
      <c r="Z7" s="16"/>
      <c r="AA7" s="17"/>
      <c r="AB7" s="17"/>
      <c r="AC7" s="17"/>
      <c r="AD7" s="3"/>
      <c r="AE7" s="3"/>
      <c r="AF7" s="3"/>
      <c r="AG7" s="3"/>
      <c r="AH7" s="3"/>
      <c r="AI7" s="3"/>
      <c r="AJ7" s="1"/>
      <c r="AK7" s="1"/>
      <c r="AL7" s="1"/>
      <c r="AM7" s="1"/>
      <c r="AN7" s="1"/>
      <c r="AO7" s="1"/>
      <c r="AP7" s="1"/>
      <c r="AQ7" s="1"/>
      <c r="AR7" s="1"/>
      <c r="AS7" s="1"/>
      <c r="AT7" s="1"/>
      <c r="AU7" s="1"/>
      <c r="AV7" s="17"/>
      <c r="AW7" s="17"/>
    </row>
    <row r="8" spans="2:49" s="18" customFormat="1" ht="409.5" x14ac:dyDescent="0.35">
      <c r="B8" s="20" t="s">
        <v>42</v>
      </c>
      <c r="C8" s="20" t="s">
        <v>96</v>
      </c>
      <c r="D8" s="20" t="s">
        <v>48</v>
      </c>
      <c r="E8" s="20" t="s">
        <v>97</v>
      </c>
      <c r="F8" s="20" t="s">
        <v>110</v>
      </c>
      <c r="G8" s="20"/>
      <c r="H8" s="20"/>
      <c r="I8" s="20" t="s">
        <v>87</v>
      </c>
      <c r="J8" s="20" t="s">
        <v>95</v>
      </c>
      <c r="K8" s="20" t="s">
        <v>144</v>
      </c>
      <c r="L8" s="22"/>
      <c r="M8" s="22"/>
      <c r="N8" s="2"/>
      <c r="O8" s="28" t="s">
        <v>75</v>
      </c>
      <c r="P8" s="29" t="s">
        <v>76</v>
      </c>
      <c r="Q8" s="29" t="s">
        <v>77</v>
      </c>
      <c r="R8" s="30" t="s">
        <v>71</v>
      </c>
      <c r="S8" s="16"/>
      <c r="T8" s="16"/>
      <c r="U8" s="16"/>
      <c r="V8" s="16"/>
      <c r="W8" s="16"/>
      <c r="X8" s="16"/>
      <c r="Y8" s="16"/>
      <c r="Z8" s="16"/>
      <c r="AA8" s="17"/>
      <c r="AB8" s="17"/>
      <c r="AC8" s="17"/>
      <c r="AD8" s="3"/>
      <c r="AE8" s="3"/>
      <c r="AF8" s="3"/>
      <c r="AG8" s="3"/>
      <c r="AH8" s="3"/>
      <c r="AI8" s="3"/>
      <c r="AJ8" s="1"/>
      <c r="AK8" s="1"/>
      <c r="AL8" s="1"/>
      <c r="AM8" s="1"/>
      <c r="AN8" s="1"/>
      <c r="AO8" s="1"/>
      <c r="AP8" s="1"/>
      <c r="AQ8" s="1"/>
      <c r="AR8" s="1"/>
      <c r="AS8" s="1"/>
      <c r="AT8" s="1"/>
      <c r="AU8" s="1"/>
      <c r="AV8" s="17"/>
      <c r="AW8" s="17"/>
    </row>
    <row r="9" spans="2:49" s="18" customFormat="1" ht="409.5" x14ac:dyDescent="0.35">
      <c r="B9" s="20" t="s">
        <v>43</v>
      </c>
      <c r="C9" s="20" t="s">
        <v>99</v>
      </c>
      <c r="D9" s="20" t="s">
        <v>48</v>
      </c>
      <c r="E9" s="20" t="s">
        <v>105</v>
      </c>
      <c r="F9" s="20" t="s">
        <v>111</v>
      </c>
      <c r="G9" s="20"/>
      <c r="H9" s="20"/>
      <c r="I9" s="21" t="s">
        <v>88</v>
      </c>
      <c r="J9" s="32" t="s">
        <v>98</v>
      </c>
      <c r="K9" s="20" t="s">
        <v>151</v>
      </c>
      <c r="L9" s="22"/>
      <c r="M9" s="22"/>
      <c r="N9" s="2"/>
      <c r="O9" s="28" t="s">
        <v>75</v>
      </c>
      <c r="P9" s="29" t="s">
        <v>76</v>
      </c>
      <c r="Q9" s="29" t="s">
        <v>77</v>
      </c>
      <c r="R9" s="30" t="s">
        <v>118</v>
      </c>
      <c r="S9" s="16"/>
      <c r="T9" s="16"/>
      <c r="U9" s="16"/>
      <c r="V9" s="16"/>
      <c r="W9" s="16"/>
      <c r="X9" s="16"/>
      <c r="Y9" s="16"/>
      <c r="Z9" s="16"/>
      <c r="AA9" s="17"/>
      <c r="AB9" s="17"/>
      <c r="AC9" s="17"/>
      <c r="AD9" s="3"/>
      <c r="AE9" s="3"/>
      <c r="AF9" s="3"/>
      <c r="AG9" s="3"/>
      <c r="AH9" s="3"/>
      <c r="AI9" s="3"/>
      <c r="AJ9" s="1"/>
      <c r="AK9" s="1"/>
      <c r="AL9" s="1"/>
      <c r="AM9" s="1"/>
      <c r="AN9" s="1"/>
      <c r="AO9" s="1"/>
      <c r="AP9" s="1"/>
      <c r="AQ9" s="1"/>
      <c r="AR9" s="1"/>
      <c r="AS9" s="1"/>
      <c r="AT9" s="1"/>
      <c r="AU9" s="1"/>
      <c r="AV9" s="17"/>
      <c r="AW9" s="17"/>
    </row>
    <row r="10" spans="2:49" s="18" customFormat="1" ht="409.5" x14ac:dyDescent="0.35">
      <c r="B10" s="20" t="s">
        <v>44</v>
      </c>
      <c r="C10" s="20" t="s">
        <v>121</v>
      </c>
      <c r="D10" s="20" t="s">
        <v>48</v>
      </c>
      <c r="E10" s="20" t="s">
        <v>138</v>
      </c>
      <c r="F10" s="20" t="s">
        <v>112</v>
      </c>
      <c r="G10" s="20"/>
      <c r="H10" s="20"/>
      <c r="I10" s="21" t="s">
        <v>93</v>
      </c>
      <c r="J10" s="20"/>
      <c r="K10" s="20" t="s">
        <v>145</v>
      </c>
      <c r="L10" s="22"/>
      <c r="M10" s="22"/>
      <c r="N10" s="2"/>
      <c r="O10" s="28" t="s">
        <v>75</v>
      </c>
      <c r="P10" s="29" t="s">
        <v>76</v>
      </c>
      <c r="Q10" s="29" t="s">
        <v>77</v>
      </c>
      <c r="R10" s="30" t="s">
        <v>71</v>
      </c>
      <c r="S10" s="16"/>
      <c r="T10" s="16"/>
      <c r="U10" s="16"/>
      <c r="V10" s="16"/>
      <c r="W10" s="16"/>
      <c r="X10" s="16"/>
      <c r="Y10" s="16"/>
      <c r="Z10" s="16"/>
      <c r="AA10" s="17"/>
      <c r="AB10" s="17"/>
      <c r="AC10" s="17"/>
      <c r="AD10" s="3"/>
      <c r="AE10" s="3"/>
      <c r="AF10" s="3"/>
      <c r="AG10" s="3"/>
      <c r="AH10" s="3"/>
      <c r="AI10" s="3"/>
      <c r="AJ10" s="1"/>
      <c r="AK10" s="1"/>
      <c r="AL10" s="1"/>
      <c r="AM10" s="1"/>
      <c r="AN10" s="1"/>
      <c r="AO10" s="1"/>
      <c r="AP10" s="1"/>
      <c r="AQ10" s="1"/>
      <c r="AR10" s="1"/>
      <c r="AS10" s="1"/>
      <c r="AT10" s="1"/>
      <c r="AU10" s="1"/>
      <c r="AV10" s="17"/>
      <c r="AW10" s="17"/>
    </row>
    <row r="11" spans="2:49" s="18" customFormat="1" ht="409.5" x14ac:dyDescent="0.35">
      <c r="B11" s="20" t="s">
        <v>44</v>
      </c>
      <c r="C11" s="20" t="s">
        <v>122</v>
      </c>
      <c r="D11" s="20" t="s">
        <v>48</v>
      </c>
      <c r="E11" s="20" t="s">
        <v>139</v>
      </c>
      <c r="F11" s="20" t="s">
        <v>114</v>
      </c>
      <c r="G11" s="20"/>
      <c r="H11" s="20"/>
      <c r="I11" s="20" t="s">
        <v>102</v>
      </c>
      <c r="J11" s="20"/>
      <c r="K11" s="20" t="s">
        <v>152</v>
      </c>
      <c r="L11" s="22"/>
      <c r="M11" s="22"/>
      <c r="N11" s="2"/>
      <c r="O11" s="28"/>
      <c r="P11" s="29"/>
      <c r="Q11" s="29"/>
      <c r="R11" s="30"/>
      <c r="S11" s="16"/>
      <c r="T11" s="16"/>
      <c r="U11" s="16"/>
      <c r="V11" s="16"/>
      <c r="W11" s="16"/>
      <c r="X11" s="16"/>
      <c r="Y11" s="16"/>
      <c r="Z11" s="16"/>
      <c r="AA11" s="17"/>
      <c r="AB11" s="17"/>
      <c r="AC11" s="17"/>
      <c r="AD11" s="3"/>
      <c r="AE11" s="3"/>
      <c r="AF11" s="3"/>
      <c r="AG11" s="3"/>
      <c r="AH11" s="3"/>
      <c r="AI11" s="3"/>
      <c r="AJ11" s="1"/>
      <c r="AK11" s="1"/>
      <c r="AL11" s="1"/>
      <c r="AM11" s="1"/>
      <c r="AN11" s="1"/>
      <c r="AO11" s="1"/>
      <c r="AP11" s="1"/>
      <c r="AQ11" s="1"/>
      <c r="AR11" s="1"/>
      <c r="AS11" s="1"/>
      <c r="AT11" s="1"/>
      <c r="AU11" s="1"/>
      <c r="AV11" s="17"/>
      <c r="AW11" s="17"/>
    </row>
    <row r="12" spans="2:49" s="18" customFormat="1" ht="409.5" x14ac:dyDescent="0.35">
      <c r="B12" s="20" t="s">
        <v>44</v>
      </c>
      <c r="C12" s="20" t="s">
        <v>123</v>
      </c>
      <c r="D12" s="20" t="s">
        <v>48</v>
      </c>
      <c r="E12" s="20" t="s">
        <v>140</v>
      </c>
      <c r="F12" s="20" t="s">
        <v>115</v>
      </c>
      <c r="G12" s="20"/>
      <c r="H12" s="20"/>
      <c r="I12" s="21" t="s">
        <v>131</v>
      </c>
      <c r="J12" s="20"/>
      <c r="K12" s="20" t="s">
        <v>146</v>
      </c>
      <c r="L12" s="22"/>
      <c r="M12" s="22"/>
      <c r="N12" s="2"/>
      <c r="O12" s="28"/>
      <c r="P12" s="29"/>
      <c r="Q12" s="29"/>
      <c r="R12" s="30"/>
      <c r="S12" s="16"/>
      <c r="T12" s="16"/>
      <c r="U12" s="16"/>
      <c r="V12" s="16"/>
      <c r="W12" s="16"/>
      <c r="X12" s="16"/>
      <c r="Y12" s="16"/>
      <c r="Z12" s="16"/>
      <c r="AA12" s="17"/>
      <c r="AB12" s="17"/>
      <c r="AC12" s="17"/>
      <c r="AD12" s="3"/>
      <c r="AE12" s="3"/>
      <c r="AF12" s="3"/>
      <c r="AG12" s="3"/>
      <c r="AH12" s="3"/>
      <c r="AI12" s="3"/>
      <c r="AJ12" s="1"/>
      <c r="AK12" s="1"/>
      <c r="AL12" s="1"/>
      <c r="AM12" s="1"/>
      <c r="AN12" s="1"/>
      <c r="AO12" s="1"/>
      <c r="AP12" s="1"/>
      <c r="AQ12" s="1"/>
      <c r="AR12" s="1"/>
      <c r="AS12" s="1"/>
      <c r="AT12" s="1"/>
      <c r="AU12" s="1"/>
      <c r="AV12" s="17"/>
      <c r="AW12" s="17"/>
    </row>
    <row r="13" spans="2:49" s="18" customFormat="1" ht="409.5" x14ac:dyDescent="0.35">
      <c r="B13" s="20" t="s">
        <v>44</v>
      </c>
      <c r="C13" s="20" t="s">
        <v>124</v>
      </c>
      <c r="D13" s="20" t="s">
        <v>48</v>
      </c>
      <c r="E13" s="20" t="s">
        <v>141</v>
      </c>
      <c r="F13" s="20" t="s">
        <v>116</v>
      </c>
      <c r="G13" s="20"/>
      <c r="H13" s="20"/>
      <c r="I13" s="21" t="s">
        <v>132</v>
      </c>
      <c r="J13" s="20"/>
      <c r="K13" s="20" t="s">
        <v>147</v>
      </c>
      <c r="L13" s="22"/>
      <c r="M13" s="22"/>
      <c r="N13" s="2"/>
      <c r="O13" s="28"/>
      <c r="P13" s="29"/>
      <c r="Q13" s="29"/>
      <c r="R13" s="30"/>
      <c r="S13" s="16"/>
      <c r="T13" s="16"/>
      <c r="U13" s="16"/>
      <c r="V13" s="16"/>
      <c r="W13" s="16"/>
      <c r="X13" s="16"/>
      <c r="Y13" s="16"/>
      <c r="Z13" s="16"/>
      <c r="AA13" s="17"/>
      <c r="AB13" s="17"/>
      <c r="AC13" s="17"/>
      <c r="AD13" s="3"/>
      <c r="AE13" s="3"/>
      <c r="AF13" s="3"/>
      <c r="AG13" s="3"/>
      <c r="AH13" s="3"/>
      <c r="AI13" s="3"/>
      <c r="AJ13" s="1"/>
      <c r="AK13" s="1"/>
      <c r="AL13" s="1"/>
      <c r="AM13" s="1"/>
      <c r="AN13" s="1"/>
      <c r="AO13" s="1"/>
      <c r="AP13" s="1"/>
      <c r="AQ13" s="1"/>
      <c r="AR13" s="1"/>
      <c r="AS13" s="1"/>
      <c r="AT13" s="1"/>
      <c r="AU13" s="1"/>
      <c r="AV13" s="17"/>
      <c r="AW13" s="17"/>
    </row>
    <row r="14" spans="2:49" s="18" customFormat="1" ht="409.5" x14ac:dyDescent="0.35">
      <c r="B14" s="20" t="s">
        <v>44</v>
      </c>
      <c r="C14" s="20" t="s">
        <v>125</v>
      </c>
      <c r="D14" s="20" t="s">
        <v>48</v>
      </c>
      <c r="E14" s="20" t="s">
        <v>142</v>
      </c>
      <c r="F14" s="20" t="s">
        <v>127</v>
      </c>
      <c r="G14" s="20"/>
      <c r="H14" s="20"/>
      <c r="I14" s="20" t="s">
        <v>133</v>
      </c>
      <c r="J14" s="20"/>
      <c r="K14" s="20" t="s">
        <v>148</v>
      </c>
      <c r="L14" s="22"/>
      <c r="M14" s="22"/>
      <c r="N14" s="2"/>
      <c r="O14" s="28"/>
      <c r="P14" s="29"/>
      <c r="Q14" s="29"/>
      <c r="R14" s="30"/>
      <c r="S14" s="16"/>
      <c r="T14" s="16"/>
      <c r="U14" s="16"/>
      <c r="V14" s="16"/>
      <c r="W14" s="16"/>
      <c r="X14" s="16"/>
      <c r="Y14" s="16"/>
      <c r="Z14" s="16"/>
      <c r="AA14" s="17"/>
      <c r="AB14" s="17"/>
      <c r="AC14" s="17"/>
      <c r="AD14" s="3"/>
      <c r="AE14" s="3"/>
      <c r="AF14" s="3"/>
      <c r="AG14" s="3"/>
      <c r="AH14" s="3"/>
      <c r="AI14" s="3"/>
      <c r="AJ14" s="1"/>
      <c r="AK14" s="1"/>
      <c r="AL14" s="1"/>
      <c r="AM14" s="1"/>
      <c r="AN14" s="1"/>
      <c r="AO14" s="1"/>
      <c r="AP14" s="1"/>
      <c r="AQ14" s="1"/>
      <c r="AR14" s="1"/>
      <c r="AS14" s="1"/>
      <c r="AT14" s="1"/>
      <c r="AU14" s="1"/>
      <c r="AV14" s="17"/>
      <c r="AW14" s="17"/>
    </row>
    <row r="15" spans="2:49" s="18" customFormat="1" ht="117" customHeight="1" x14ac:dyDescent="0.35">
      <c r="B15" s="20" t="s">
        <v>44</v>
      </c>
      <c r="C15" s="20" t="s">
        <v>126</v>
      </c>
      <c r="D15" s="20" t="s">
        <v>48</v>
      </c>
      <c r="E15" s="20"/>
      <c r="F15" s="20" t="s">
        <v>128</v>
      </c>
      <c r="G15" s="20"/>
      <c r="H15" s="20"/>
      <c r="I15" s="21" t="s">
        <v>134</v>
      </c>
      <c r="J15" s="20"/>
      <c r="K15" s="34" t="s">
        <v>149</v>
      </c>
      <c r="L15" s="22"/>
      <c r="M15" s="22"/>
      <c r="N15" s="2"/>
      <c r="O15" s="28"/>
      <c r="P15" s="29"/>
      <c r="Q15" s="29"/>
      <c r="R15" s="30"/>
      <c r="S15" s="16"/>
      <c r="T15" s="16"/>
      <c r="U15" s="16"/>
      <c r="V15" s="16"/>
      <c r="W15" s="16"/>
      <c r="X15" s="16"/>
      <c r="Y15" s="16"/>
      <c r="Z15" s="16"/>
      <c r="AA15" s="17"/>
      <c r="AB15" s="17"/>
      <c r="AC15" s="17"/>
      <c r="AD15" s="3"/>
      <c r="AE15" s="3"/>
      <c r="AF15" s="3"/>
      <c r="AG15" s="3"/>
      <c r="AH15" s="3"/>
      <c r="AI15" s="3"/>
      <c r="AJ15" s="1"/>
      <c r="AK15" s="1"/>
      <c r="AL15" s="1"/>
      <c r="AM15" s="1"/>
      <c r="AN15" s="1"/>
      <c r="AO15" s="1"/>
      <c r="AP15" s="1"/>
      <c r="AQ15" s="1"/>
      <c r="AR15" s="1"/>
      <c r="AS15" s="1"/>
      <c r="AT15" s="1"/>
      <c r="AU15" s="1"/>
      <c r="AV15" s="17"/>
      <c r="AW15" s="17"/>
    </row>
    <row r="16" spans="2:49" s="18" customFormat="1" ht="409.6" customHeight="1" x14ac:dyDescent="0.35">
      <c r="B16" s="20" t="s">
        <v>45</v>
      </c>
      <c r="C16" s="20" t="s">
        <v>100</v>
      </c>
      <c r="D16" s="20" t="s">
        <v>48</v>
      </c>
      <c r="E16" s="20" t="s">
        <v>104</v>
      </c>
      <c r="F16" s="20" t="s">
        <v>113</v>
      </c>
      <c r="G16" s="20"/>
      <c r="H16" s="20"/>
      <c r="I16" s="21" t="s">
        <v>135</v>
      </c>
      <c r="J16" s="33" t="s">
        <v>101</v>
      </c>
      <c r="K16" s="20" t="s">
        <v>103</v>
      </c>
      <c r="L16" s="22"/>
      <c r="M16" s="22"/>
      <c r="N16" s="2"/>
      <c r="O16" s="28" t="s">
        <v>75</v>
      </c>
      <c r="P16" s="29" t="s">
        <v>76</v>
      </c>
      <c r="Q16" s="29" t="s">
        <v>77</v>
      </c>
      <c r="R16" s="30" t="s">
        <v>71</v>
      </c>
      <c r="S16" s="16"/>
      <c r="T16" s="16"/>
      <c r="U16" s="16"/>
      <c r="V16" s="16"/>
      <c r="W16" s="16"/>
      <c r="X16" s="16"/>
      <c r="Y16" s="16"/>
      <c r="Z16" s="16"/>
      <c r="AA16" s="17"/>
      <c r="AB16" s="17"/>
      <c r="AC16" s="17"/>
      <c r="AD16" s="3"/>
      <c r="AE16" s="3"/>
      <c r="AF16" s="3"/>
      <c r="AG16" s="3"/>
      <c r="AH16" s="3"/>
      <c r="AI16" s="3"/>
      <c r="AJ16" s="1"/>
      <c r="AK16" s="1"/>
      <c r="AL16" s="1"/>
      <c r="AM16" s="1"/>
      <c r="AN16" s="1"/>
      <c r="AO16" s="1"/>
      <c r="AP16" s="1"/>
      <c r="AQ16" s="1"/>
      <c r="AR16" s="1"/>
      <c r="AS16" s="1"/>
      <c r="AT16" s="1"/>
      <c r="AU16" s="1"/>
      <c r="AV16" s="17"/>
      <c r="AW16" s="17"/>
    </row>
    <row r="17" spans="2:49" s="18" customFormat="1" ht="409.5" x14ac:dyDescent="0.35">
      <c r="B17" s="20" t="s">
        <v>46</v>
      </c>
      <c r="C17" s="20" t="s">
        <v>107</v>
      </c>
      <c r="D17" s="20" t="s">
        <v>48</v>
      </c>
      <c r="E17" s="20" t="s">
        <v>108</v>
      </c>
      <c r="F17" s="20" t="s">
        <v>129</v>
      </c>
      <c r="G17" s="20"/>
      <c r="H17" s="20"/>
      <c r="I17" s="20" t="s">
        <v>136</v>
      </c>
      <c r="J17" s="35" t="s">
        <v>106</v>
      </c>
      <c r="K17" s="20" t="s">
        <v>117</v>
      </c>
      <c r="L17" s="22"/>
      <c r="M17" s="22"/>
      <c r="N17" s="2"/>
      <c r="O17" s="28" t="s">
        <v>75</v>
      </c>
      <c r="P17" s="29" t="s">
        <v>76</v>
      </c>
      <c r="Q17" s="29" t="s">
        <v>77</v>
      </c>
      <c r="R17" s="30" t="s">
        <v>71</v>
      </c>
      <c r="S17" s="16"/>
      <c r="T17" s="16"/>
      <c r="U17" s="16"/>
      <c r="V17" s="16"/>
      <c r="W17" s="16"/>
      <c r="X17" s="16"/>
      <c r="Y17" s="16"/>
      <c r="Z17" s="16"/>
      <c r="AA17" s="17"/>
      <c r="AB17" s="17"/>
      <c r="AC17" s="17"/>
      <c r="AD17" s="3"/>
      <c r="AE17" s="3"/>
      <c r="AF17" s="3"/>
      <c r="AG17" s="3"/>
      <c r="AH17" s="3"/>
      <c r="AI17" s="3"/>
      <c r="AJ17" s="1"/>
      <c r="AK17" s="1"/>
      <c r="AL17" s="1"/>
      <c r="AM17" s="1"/>
      <c r="AN17" s="1"/>
      <c r="AO17" s="1"/>
      <c r="AP17" s="1"/>
      <c r="AQ17" s="1"/>
      <c r="AR17" s="1"/>
      <c r="AS17" s="1"/>
      <c r="AT17" s="1"/>
      <c r="AU17" s="1"/>
      <c r="AV17" s="17"/>
      <c r="AW17" s="17"/>
    </row>
    <row r="18" spans="2:49" s="18" customFormat="1" ht="141" customHeight="1" x14ac:dyDescent="0.35">
      <c r="B18" s="20" t="s">
        <v>47</v>
      </c>
      <c r="C18" s="20" t="s">
        <v>153</v>
      </c>
      <c r="D18" s="20" t="s">
        <v>119</v>
      </c>
      <c r="E18" s="20" t="s">
        <v>120</v>
      </c>
      <c r="F18" s="20" t="s">
        <v>130</v>
      </c>
      <c r="G18" s="20"/>
      <c r="H18" s="20"/>
      <c r="I18" s="21" t="s">
        <v>137</v>
      </c>
      <c r="J18" s="20"/>
      <c r="K18" s="20" t="s">
        <v>143</v>
      </c>
      <c r="L18" s="22"/>
      <c r="M18" s="22"/>
      <c r="N18" s="2"/>
      <c r="O18" s="2"/>
      <c r="P18" s="1"/>
      <c r="Q18" s="1"/>
      <c r="R18" s="1"/>
      <c r="S18" s="16"/>
      <c r="T18" s="16"/>
      <c r="U18" s="16"/>
      <c r="V18" s="16"/>
      <c r="W18" s="16"/>
      <c r="X18" s="16"/>
      <c r="Y18" s="16"/>
      <c r="Z18" s="16"/>
      <c r="AA18" s="17"/>
      <c r="AB18" s="17"/>
      <c r="AC18" s="17"/>
      <c r="AD18" s="3"/>
      <c r="AE18" s="3"/>
      <c r="AF18" s="3"/>
      <c r="AG18" s="3"/>
      <c r="AH18" s="3"/>
      <c r="AI18" s="3"/>
      <c r="AJ18" s="1"/>
      <c r="AK18" s="1"/>
      <c r="AL18" s="1"/>
      <c r="AM18" s="1"/>
      <c r="AN18" s="1"/>
      <c r="AO18" s="1"/>
      <c r="AP18" s="1"/>
      <c r="AQ18" s="1"/>
      <c r="AR18" s="1"/>
      <c r="AS18" s="1"/>
      <c r="AT18" s="1"/>
      <c r="AU18" s="1"/>
      <c r="AV18" s="17"/>
      <c r="AW18" s="17"/>
    </row>
    <row r="19" spans="2:49" x14ac:dyDescent="0.35">
      <c r="E19" s="31"/>
      <c r="I19" s="6"/>
    </row>
    <row r="20" spans="2:49" x14ac:dyDescent="0.35">
      <c r="I20" s="6"/>
    </row>
    <row r="21" spans="2:49" x14ac:dyDescent="0.35">
      <c r="B21" s="23" t="s">
        <v>64</v>
      </c>
      <c r="I21" s="6"/>
    </row>
    <row r="22" spans="2:49" x14ac:dyDescent="0.35">
      <c r="I22" s="6"/>
    </row>
    <row r="23" spans="2:49" x14ac:dyDescent="0.35">
      <c r="I23" s="6"/>
    </row>
    <row r="24" spans="2:49" x14ac:dyDescent="0.35">
      <c r="I24" s="6"/>
    </row>
    <row r="25" spans="2:49" x14ac:dyDescent="0.35">
      <c r="I25" s="6"/>
    </row>
    <row r="26" spans="2:49" x14ac:dyDescent="0.35">
      <c r="I26" s="6"/>
    </row>
    <row r="27" spans="2:49" x14ac:dyDescent="0.35">
      <c r="I27" s="6"/>
    </row>
  </sheetData>
  <mergeCells count="9">
    <mergeCell ref="AD3:AH3"/>
    <mergeCell ref="AJ3:AU3"/>
    <mergeCell ref="AV3:AW3"/>
    <mergeCell ref="N2:R2"/>
    <mergeCell ref="N3:O3"/>
    <mergeCell ref="P3:R3"/>
    <mergeCell ref="S3:U3"/>
    <mergeCell ref="V3:Z3"/>
    <mergeCell ref="AA3:AC3"/>
  </mergeCells>
  <conditionalFormatting sqref="J7:J8">
    <cfRule type="expression" dxfId="7" priority="2">
      <formula>$BA7="S"</formula>
    </cfRule>
  </conditionalFormatting>
  <conditionalFormatting sqref="J6:K6">
    <cfRule type="expression" dxfId="6" priority="3">
      <formula>$BA6="S"</formula>
    </cfRule>
  </conditionalFormatting>
  <conditionalFormatting sqref="K7">
    <cfRule type="expression" dxfId="5" priority="1">
      <formula>$BA7="S"</formula>
    </cfRule>
  </conditionalFormatting>
  <conditionalFormatting sqref="L5:M7 I6:I7 K8:M9 I9:I10 J10:M15 I12:I13 I15:I16 K16:M17 I18:M18">
    <cfRule type="expression" dxfId="4" priority="8">
      <formula>$BA5="S"</formula>
    </cfRule>
  </conditionalFormatting>
  <conditionalFormatting sqref="AD4">
    <cfRule type="containsText" dxfId="3" priority="4" operator="containsText" text="oportunidad">
      <formula>NOT(ISERROR(SEARCH("oportunidad",AD4)))</formula>
    </cfRule>
    <cfRule type="containsText" dxfId="2" priority="5" operator="containsText" text="inadecuado">
      <formula>NOT(ISERROR(SEARCH("inadecuado",AD4)))</formula>
    </cfRule>
  </conditionalFormatting>
  <conditionalFormatting sqref="AD3:AE3 AE4 AD5:AI18">
    <cfRule type="containsText" dxfId="1" priority="6" operator="containsText" text="inefectivo">
      <formula>NOT(ISERROR(SEARCH("inefectivo",AD3)))</formula>
    </cfRule>
    <cfRule type="containsText" dxfId="0" priority="7" operator="containsText" text="Inadecuado">
      <formula>NOT(ISERROR(SEARCH("Inadecuado",AD3)))</formula>
    </cfRule>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RACM</vt:lpstr>
      <vt:lpstr>RACMDEF</vt:lpstr>
      <vt:lpstr>Mapping (1)</vt:lpstr>
      <vt:lpstr>Mapping (2)</vt:lpstr>
      <vt:lpstr>Req. RRHH</vt:lpstr>
      <vt:lpstr>Req. Tecnología</vt:lpstr>
      <vt:lpstr>Req. Abastecimiento</vt:lpstr>
      <vt:lpstr>Req. Inversores</vt:lpstr>
      <vt:lpstr>Req. Tesorería</vt:lpstr>
      <vt:lpstr>Req. Contraloría Comercial Cl</vt:lpstr>
      <vt:lpstr>RACM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Hamir D Patiño Hincapie</dc:creator>
  <cp:lastModifiedBy>Geraldine M Farfan</cp:lastModifiedBy>
  <dcterms:created xsi:type="dcterms:W3CDTF">2022-06-27T11:37:25Z</dcterms:created>
  <dcterms:modified xsi:type="dcterms:W3CDTF">2026-03-12T15:46:44Z</dcterms:modified>
</cp:coreProperties>
</file>